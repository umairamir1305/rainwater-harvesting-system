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40CBAAD-DE4A-493F-9BF2-B1E2B9BCDCA8}" xr6:coauthVersionLast="47" xr6:coauthVersionMax="47" xr10:uidLastSave="{00000000-0000-0000-0000-000000000000}"/>
  <bookViews>
    <workbookView xWindow="-110" yWindow="-110" windowWidth="19420" windowHeight="11020" tabRatio="500" firstSheet="1" activeTab="4" xr2:uid="{00000000-000D-0000-FFFF-FFFF00000000}"/>
  </bookViews>
  <sheets>
    <sheet name="Dashboard" sheetId="1" r:id="rId1"/>
    <sheet name="Inputs" sheetId="2" r:id="rId2"/>
    <sheet name="Rainfall Data" sheetId="3" r:id="rId3"/>
    <sheet name="Daily Simulation" sheetId="4" r:id="rId4"/>
    <sheet name="Monthly Summary" sheetId="5" r:id="rId5"/>
    <sheet name="Engineering Calcs" sheetId="6" r:id="rId6"/>
    <sheet name="Tank Optimization" sheetId="7" r:id="rId7"/>
    <sheet name="Sensitivity" sheetId="8" r:id="rId8"/>
    <sheet name="Economics" sheetId="9" r:id="rId9"/>
    <sheet name="Charts" sheetId="10" r:id="rId10"/>
  </sheets>
  <definedNames>
    <definedName name="ActiveMonthlyRain">'Rainfall Data'!$C$15:$C$26</definedName>
    <definedName name="ActiveRainyDays">'Rainfall Data'!$D$15:$D$26</definedName>
    <definedName name="CF_Range">Economics!$F$36:$F$55</definedName>
    <definedName name="CollectionEff">Inputs!$C$16</definedName>
    <definedName name="ConveyEff">Inputs!$C$13</definedName>
    <definedName name="DailyDate">'Rainfall Data'!$J$32:$J$396</definedName>
    <definedName name="DailyDemand_L">Inputs!$H$9</definedName>
    <definedName name="DailyRainfall">'Rainfall Data'!$P$32:$P$396</definedName>
    <definedName name="DeadStorage_L">Inputs!$C$21</definedName>
    <definedName name="DemandPerCapita_L">Inputs!$H$7</definedName>
    <definedName name="DiscountRate">Inputs!$H$21</definedName>
    <definedName name="ElecTariff_PKR_kWh">Inputs!$H$20</definedName>
    <definedName name="FilterEff">Inputs!$C$12</definedName>
    <definedName name="FirstFlush_mm">Inputs!$C$9</definedName>
    <definedName name="InstallCost_PKR">Inputs!$H$18</definedName>
    <definedName name="IRR_Range">Economics!$F$35:$F$55</definedName>
    <definedName name="MaintCost_PKR">Inputs!$H$19</definedName>
    <definedName name="Month_AvgStorage">'Monthly Summary'!$I$6:$I$17</definedName>
    <definedName name="Month_Collected">'Monthly Summary'!$D$6:$D$17</definedName>
    <definedName name="Month_Demand">'Monthly Summary'!$E$6:$E$17</definedName>
    <definedName name="Month_Names">'Monthly Summary'!$B$6:$B$17</definedName>
    <definedName name="Month_Overflow">'Monthly Summary'!$G$6:$G$17</definedName>
    <definedName name="Month_Rain">'Monthly Summary'!$C$6:$C$17</definedName>
    <definedName name="Month_Reliab">'Monthly Summary'!$K$6:$K$17</definedName>
    <definedName name="Month_Shortage">'Monthly Summary'!$H$6:$H$17</definedName>
    <definedName name="Month_Supplied">'Monthly Summary'!$F$6:$F$17</definedName>
    <definedName name="Month_Util">'Monthly Summary'!$J$6:$J$17</definedName>
    <definedName name="Occupants">Inputs!$H$6</definedName>
    <definedName name="ProjectLife_yrs">Inputs!$H$22</definedName>
    <definedName name="PumpEff">Inputs!$C$14</definedName>
    <definedName name="RainfallStation">Inputs!$H$12</definedName>
    <definedName name="RainTable">'Rainfall Data'!$C$5:$N$10</definedName>
    <definedName name="RoofArea_m2">Inputs!$C$6</definedName>
    <definedName name="RoofMaterial">Inputs!$C$7</definedName>
    <definedName name="RunoffCoeff">Inputs!$C$8</definedName>
    <definedName name="Sim_Collected">'Daily Simulation'!$E$6:$E$370</definedName>
    <definedName name="Sim_CollectEff">'Daily Simulation'!$L$6:$L$370</definedName>
    <definedName name="Sim_CumCollected">'Daily Simulation'!$M$6:$M$370</definedName>
    <definedName name="Sim_CumOverflow">'Daily Simulation'!$O$6:$O$370</definedName>
    <definedName name="Sim_CumShortage">'Daily Simulation'!$P$6:$P$370</definedName>
    <definedName name="Sim_CumUsed">'Daily Simulation'!$N$6:$N$370</definedName>
    <definedName name="Sim_Date">'Daily Simulation'!$C$6:$C$370</definedName>
    <definedName name="Sim_Day">'Daily Simulation'!$B$6:$B$370</definedName>
    <definedName name="Sim_Demand">'Daily Simulation'!$G$6:$G$370</definedName>
    <definedName name="Sim_FinalLevel">'Daily Simulation'!$K$6:$K$370</definedName>
    <definedName name="Sim_InitLevel">'Daily Simulation'!$F$6:$F$370</definedName>
    <definedName name="Sim_Overflow">'Daily Simulation'!$I$6:$I$370</definedName>
    <definedName name="Sim_Rainfall">'Daily Simulation'!$D$6:$D$370</definedName>
    <definedName name="Sim_Shortage">'Daily Simulation'!$J$6:$J$370</definedName>
    <definedName name="Sim_Supplied">'Daily Simulation'!$H$6:$H$370</definedName>
    <definedName name="StationNames">'Rainfall Data'!$B$5:$B$10</definedName>
    <definedName name="Sweep_Overflow">'Tank Optimization'!$D$34:$D$48</definedName>
    <definedName name="Sweep_Supplied">'Tank Optimization'!$C$34:$C$48</definedName>
    <definedName name="Sweep_TankSize">'Tank Optimization'!$B$34:$B$48</definedName>
    <definedName name="TankCapacity_L">Inputs!$C$19</definedName>
    <definedName name="TankCost_PKR">Inputs!$H$17</definedName>
    <definedName name="TankInitial_L">Inputs!$C$20</definedName>
    <definedName name="WaterTariff_PKR_L">Inputs!$H$16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7" i="9" l="1"/>
  <c r="C26" i="9"/>
  <c r="C18" i="9"/>
  <c r="C12" i="9"/>
  <c r="C14" i="9" s="1"/>
  <c r="C7" i="9"/>
  <c r="C6" i="9"/>
  <c r="C5" i="9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L346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D322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D248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L236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D202" i="4"/>
  <c r="C202" i="4"/>
  <c r="C201" i="4"/>
  <c r="C200" i="4"/>
  <c r="C199" i="4"/>
  <c r="L198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E185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E169" i="4"/>
  <c r="C169" i="4"/>
  <c r="C168" i="4"/>
  <c r="C167" i="4"/>
  <c r="C166" i="4"/>
  <c r="L165" i="4"/>
  <c r="C165" i="4"/>
  <c r="C164" i="4"/>
  <c r="C163" i="4"/>
  <c r="L162" i="4"/>
  <c r="C162" i="4"/>
  <c r="L161" i="4"/>
  <c r="C161" i="4"/>
  <c r="C160" i="4"/>
  <c r="C159" i="4"/>
  <c r="L158" i="4"/>
  <c r="C158" i="4"/>
  <c r="L157" i="4"/>
  <c r="C157" i="4"/>
  <c r="C156" i="4"/>
  <c r="C155" i="4"/>
  <c r="L154" i="4"/>
  <c r="C154" i="4"/>
  <c r="L153" i="4"/>
  <c r="C153" i="4"/>
  <c r="C152" i="4"/>
  <c r="C151" i="4"/>
  <c r="L150" i="4"/>
  <c r="C150" i="4"/>
  <c r="L149" i="4"/>
  <c r="C149" i="4"/>
  <c r="C148" i="4"/>
  <c r="C147" i="4"/>
  <c r="L146" i="4"/>
  <c r="C146" i="4"/>
  <c r="L145" i="4"/>
  <c r="C145" i="4"/>
  <c r="C144" i="4"/>
  <c r="C143" i="4"/>
  <c r="L142" i="4"/>
  <c r="C142" i="4"/>
  <c r="L141" i="4"/>
  <c r="C141" i="4"/>
  <c r="C140" i="4"/>
  <c r="C139" i="4"/>
  <c r="L138" i="4"/>
  <c r="C138" i="4"/>
  <c r="L137" i="4"/>
  <c r="C137" i="4"/>
  <c r="C136" i="4"/>
  <c r="C135" i="4"/>
  <c r="L134" i="4"/>
  <c r="C134" i="4"/>
  <c r="L133" i="4"/>
  <c r="C133" i="4"/>
  <c r="C132" i="4"/>
  <c r="C131" i="4"/>
  <c r="L130" i="4"/>
  <c r="C130" i="4"/>
  <c r="C129" i="4"/>
  <c r="C128" i="4"/>
  <c r="C127" i="4"/>
  <c r="L126" i="4"/>
  <c r="C126" i="4"/>
  <c r="C125" i="4"/>
  <c r="C124" i="4"/>
  <c r="C123" i="4"/>
  <c r="L122" i="4"/>
  <c r="C122" i="4"/>
  <c r="C121" i="4"/>
  <c r="C120" i="4"/>
  <c r="C119" i="4"/>
  <c r="L118" i="4"/>
  <c r="C118" i="4"/>
  <c r="C117" i="4"/>
  <c r="C116" i="4"/>
  <c r="C115" i="4"/>
  <c r="L114" i="4"/>
  <c r="C114" i="4"/>
  <c r="C113" i="4"/>
  <c r="C112" i="4"/>
  <c r="C111" i="4"/>
  <c r="L110" i="4"/>
  <c r="C110" i="4"/>
  <c r="C109" i="4"/>
  <c r="C108" i="4"/>
  <c r="C107" i="4"/>
  <c r="L106" i="4"/>
  <c r="C106" i="4"/>
  <c r="C105" i="4"/>
  <c r="C104" i="4"/>
  <c r="C103" i="4"/>
  <c r="L102" i="4"/>
  <c r="C102" i="4"/>
  <c r="C101" i="4"/>
  <c r="C100" i="4"/>
  <c r="C99" i="4"/>
  <c r="L98" i="4"/>
  <c r="C98" i="4"/>
  <c r="C97" i="4"/>
  <c r="C96" i="4"/>
  <c r="C95" i="4"/>
  <c r="L94" i="4"/>
  <c r="C94" i="4"/>
  <c r="C93" i="4"/>
  <c r="C92" i="4"/>
  <c r="C91" i="4"/>
  <c r="L90" i="4"/>
  <c r="C90" i="4"/>
  <c r="C89" i="4"/>
  <c r="C88" i="4"/>
  <c r="C87" i="4"/>
  <c r="D86" i="4"/>
  <c r="E86" i="4" s="1"/>
  <c r="C86" i="4"/>
  <c r="C85" i="4"/>
  <c r="C84" i="4"/>
  <c r="C83" i="4"/>
  <c r="C82" i="4"/>
  <c r="C81" i="4"/>
  <c r="C80" i="4"/>
  <c r="C79" i="4"/>
  <c r="D78" i="4"/>
  <c r="C78" i="4"/>
  <c r="E77" i="4"/>
  <c r="C77" i="4"/>
  <c r="C76" i="4"/>
  <c r="C75" i="4"/>
  <c r="C74" i="4"/>
  <c r="C73" i="4"/>
  <c r="C72" i="4"/>
  <c r="C71" i="4"/>
  <c r="C70" i="4"/>
  <c r="C69" i="4"/>
  <c r="C68" i="4"/>
  <c r="C67" i="4"/>
  <c r="D66" i="4"/>
  <c r="C66" i="4"/>
  <c r="C65" i="4"/>
  <c r="E64" i="4"/>
  <c r="C64" i="4"/>
  <c r="C63" i="4"/>
  <c r="C62" i="4"/>
  <c r="C61" i="4"/>
  <c r="C60" i="4"/>
  <c r="C59" i="4"/>
  <c r="D58" i="4"/>
  <c r="C58" i="4"/>
  <c r="C57" i="4"/>
  <c r="E56" i="4"/>
  <c r="C56" i="4"/>
  <c r="C55" i="4"/>
  <c r="C54" i="4"/>
  <c r="C53" i="4"/>
  <c r="C52" i="4"/>
  <c r="C51" i="4"/>
  <c r="C50" i="4"/>
  <c r="C49" i="4"/>
  <c r="C48" i="4"/>
  <c r="C47" i="4"/>
  <c r="L46" i="4"/>
  <c r="C46" i="4"/>
  <c r="C45" i="4"/>
  <c r="C44" i="4"/>
  <c r="C43" i="4"/>
  <c r="D42" i="4"/>
  <c r="C42" i="4"/>
  <c r="C41" i="4"/>
  <c r="C40" i="4"/>
  <c r="C39" i="4"/>
  <c r="C38" i="4"/>
  <c r="C37" i="4"/>
  <c r="C36" i="4"/>
  <c r="C35" i="4"/>
  <c r="D34" i="4"/>
  <c r="C34" i="4"/>
  <c r="C33" i="4"/>
  <c r="E32" i="4"/>
  <c r="C32" i="4"/>
  <c r="C31" i="4"/>
  <c r="C30" i="4"/>
  <c r="C29" i="4"/>
  <c r="C28" i="4"/>
  <c r="C27" i="4"/>
  <c r="D26" i="4"/>
  <c r="C26" i="4"/>
  <c r="C25" i="4"/>
  <c r="E24" i="4"/>
  <c r="C24" i="4"/>
  <c r="C23" i="4"/>
  <c r="L22" i="4"/>
  <c r="C22" i="4"/>
  <c r="C21" i="4"/>
  <c r="C20" i="4"/>
  <c r="C19" i="4"/>
  <c r="D18" i="4"/>
  <c r="C18" i="4"/>
  <c r="C17" i="4"/>
  <c r="C16" i="4"/>
  <c r="C15" i="4"/>
  <c r="L14" i="4"/>
  <c r="C14" i="4"/>
  <c r="C13" i="4"/>
  <c r="C12" i="4"/>
  <c r="C11" i="4"/>
  <c r="D10" i="4"/>
  <c r="C10" i="4"/>
  <c r="C9" i="4"/>
  <c r="C8" i="4"/>
  <c r="C7" i="4"/>
  <c r="L6" i="4"/>
  <c r="F6" i="4"/>
  <c r="D6" i="4"/>
  <c r="C6" i="4"/>
  <c r="P396" i="3"/>
  <c r="D370" i="4" s="1"/>
  <c r="N396" i="3"/>
  <c r="M396" i="3"/>
  <c r="K396" i="3"/>
  <c r="P395" i="3"/>
  <c r="D369" i="4" s="1"/>
  <c r="N395" i="3"/>
  <c r="M395" i="3"/>
  <c r="K395" i="3"/>
  <c r="P394" i="3"/>
  <c r="D368" i="4" s="1"/>
  <c r="N394" i="3"/>
  <c r="K394" i="3"/>
  <c r="M394" i="3" s="1"/>
  <c r="P393" i="3"/>
  <c r="D367" i="4" s="1"/>
  <c r="N393" i="3"/>
  <c r="M393" i="3"/>
  <c r="K393" i="3"/>
  <c r="P392" i="3"/>
  <c r="D366" i="4" s="1"/>
  <c r="N392" i="3"/>
  <c r="M392" i="3"/>
  <c r="K392" i="3"/>
  <c r="P391" i="3"/>
  <c r="D365" i="4" s="1"/>
  <c r="N391" i="3"/>
  <c r="K391" i="3"/>
  <c r="P390" i="3"/>
  <c r="D364" i="4" s="1"/>
  <c r="N390" i="3"/>
  <c r="K390" i="3"/>
  <c r="M390" i="3" s="1"/>
  <c r="P389" i="3"/>
  <c r="D363" i="4" s="1"/>
  <c r="N389" i="3"/>
  <c r="K389" i="3"/>
  <c r="P388" i="3"/>
  <c r="D362" i="4" s="1"/>
  <c r="N388" i="3"/>
  <c r="M388" i="3"/>
  <c r="K388" i="3"/>
  <c r="P387" i="3"/>
  <c r="D361" i="4" s="1"/>
  <c r="N387" i="3"/>
  <c r="M387" i="3"/>
  <c r="K387" i="3"/>
  <c r="P386" i="3"/>
  <c r="D360" i="4" s="1"/>
  <c r="N386" i="3"/>
  <c r="K386" i="3"/>
  <c r="M386" i="3" s="1"/>
  <c r="P385" i="3"/>
  <c r="D359" i="4" s="1"/>
  <c r="N385" i="3"/>
  <c r="M385" i="3"/>
  <c r="K385" i="3"/>
  <c r="P384" i="3"/>
  <c r="D358" i="4" s="1"/>
  <c r="N384" i="3"/>
  <c r="M384" i="3"/>
  <c r="K384" i="3"/>
  <c r="P383" i="3"/>
  <c r="D357" i="4" s="1"/>
  <c r="N383" i="3"/>
  <c r="K383" i="3"/>
  <c r="P382" i="3"/>
  <c r="D356" i="4" s="1"/>
  <c r="N382" i="3"/>
  <c r="K382" i="3"/>
  <c r="M382" i="3" s="1"/>
  <c r="N381" i="3"/>
  <c r="K381" i="3"/>
  <c r="P380" i="3"/>
  <c r="D354" i="4" s="1"/>
  <c r="N380" i="3"/>
  <c r="M380" i="3"/>
  <c r="K380" i="3"/>
  <c r="P379" i="3"/>
  <c r="D353" i="4" s="1"/>
  <c r="N379" i="3"/>
  <c r="M379" i="3"/>
  <c r="K379" i="3"/>
  <c r="P378" i="3"/>
  <c r="D352" i="4" s="1"/>
  <c r="N378" i="3"/>
  <c r="K378" i="3"/>
  <c r="M378" i="3" s="1"/>
  <c r="P377" i="3"/>
  <c r="D351" i="4" s="1"/>
  <c r="N377" i="3"/>
  <c r="M377" i="3"/>
  <c r="K377" i="3"/>
  <c r="P376" i="3"/>
  <c r="D350" i="4" s="1"/>
  <c r="N376" i="3"/>
  <c r="M376" i="3"/>
  <c r="K376" i="3"/>
  <c r="P375" i="3"/>
  <c r="D349" i="4" s="1"/>
  <c r="N375" i="3"/>
  <c r="K375" i="3"/>
  <c r="P374" i="3"/>
  <c r="D348" i="4" s="1"/>
  <c r="N374" i="3"/>
  <c r="K374" i="3"/>
  <c r="M374" i="3" s="1"/>
  <c r="P373" i="3"/>
  <c r="D347" i="4" s="1"/>
  <c r="N373" i="3"/>
  <c r="K373" i="3"/>
  <c r="P372" i="3"/>
  <c r="D346" i="4" s="1"/>
  <c r="N372" i="3"/>
  <c r="M372" i="3"/>
  <c r="K372" i="3"/>
  <c r="P371" i="3"/>
  <c r="D345" i="4" s="1"/>
  <c r="N371" i="3"/>
  <c r="M371" i="3"/>
  <c r="K371" i="3"/>
  <c r="P370" i="3"/>
  <c r="D344" i="4" s="1"/>
  <c r="N370" i="3"/>
  <c r="K370" i="3"/>
  <c r="M370" i="3" s="1"/>
  <c r="P369" i="3"/>
  <c r="D343" i="4" s="1"/>
  <c r="N369" i="3"/>
  <c r="M369" i="3"/>
  <c r="K369" i="3"/>
  <c r="P368" i="3"/>
  <c r="D342" i="4" s="1"/>
  <c r="N368" i="3"/>
  <c r="M368" i="3"/>
  <c r="K368" i="3"/>
  <c r="P367" i="3"/>
  <c r="D341" i="4" s="1"/>
  <c r="N367" i="3"/>
  <c r="K367" i="3"/>
  <c r="P366" i="3"/>
  <c r="D340" i="4" s="1"/>
  <c r="N366" i="3"/>
  <c r="K366" i="3"/>
  <c r="M366" i="3" s="1"/>
  <c r="P365" i="3"/>
  <c r="D339" i="4" s="1"/>
  <c r="N365" i="3"/>
  <c r="K365" i="3"/>
  <c r="P364" i="3"/>
  <c r="D338" i="4" s="1"/>
  <c r="N364" i="3"/>
  <c r="M364" i="3"/>
  <c r="K364" i="3"/>
  <c r="P363" i="3"/>
  <c r="D337" i="4" s="1"/>
  <c r="N363" i="3"/>
  <c r="M363" i="3"/>
  <c r="K363" i="3"/>
  <c r="P362" i="3"/>
  <c r="D336" i="4" s="1"/>
  <c r="N362" i="3"/>
  <c r="K362" i="3"/>
  <c r="M362" i="3" s="1"/>
  <c r="P361" i="3"/>
  <c r="D335" i="4" s="1"/>
  <c r="N361" i="3"/>
  <c r="M361" i="3"/>
  <c r="K361" i="3"/>
  <c r="L361" i="3" s="1"/>
  <c r="P360" i="3"/>
  <c r="D334" i="4" s="1"/>
  <c r="N360" i="3"/>
  <c r="M360" i="3"/>
  <c r="K360" i="3"/>
  <c r="P359" i="3"/>
  <c r="D333" i="4" s="1"/>
  <c r="N359" i="3"/>
  <c r="K359" i="3"/>
  <c r="P358" i="3"/>
  <c r="D332" i="4" s="1"/>
  <c r="N358" i="3"/>
  <c r="K358" i="3"/>
  <c r="M358" i="3" s="1"/>
  <c r="P357" i="3"/>
  <c r="D331" i="4" s="1"/>
  <c r="N357" i="3"/>
  <c r="K357" i="3"/>
  <c r="P356" i="3"/>
  <c r="D330" i="4" s="1"/>
  <c r="N356" i="3"/>
  <c r="M356" i="3"/>
  <c r="L356" i="3"/>
  <c r="K356" i="3"/>
  <c r="P355" i="3"/>
  <c r="D329" i="4" s="1"/>
  <c r="N355" i="3"/>
  <c r="M355" i="3"/>
  <c r="K355" i="3"/>
  <c r="P354" i="3"/>
  <c r="D328" i="4" s="1"/>
  <c r="N354" i="3"/>
  <c r="L354" i="3"/>
  <c r="K354" i="3"/>
  <c r="M354" i="3" s="1"/>
  <c r="P353" i="3"/>
  <c r="D327" i="4" s="1"/>
  <c r="N353" i="3"/>
  <c r="M353" i="3"/>
  <c r="K353" i="3"/>
  <c r="P352" i="3"/>
  <c r="D326" i="4" s="1"/>
  <c r="N352" i="3"/>
  <c r="M352" i="3"/>
  <c r="K352" i="3"/>
  <c r="P351" i="3"/>
  <c r="D325" i="4" s="1"/>
  <c r="N351" i="3"/>
  <c r="K351" i="3"/>
  <c r="N350" i="3"/>
  <c r="K350" i="3"/>
  <c r="M350" i="3" s="1"/>
  <c r="P349" i="3"/>
  <c r="D323" i="4" s="1"/>
  <c r="N349" i="3"/>
  <c r="K349" i="3"/>
  <c r="P348" i="3"/>
  <c r="N348" i="3"/>
  <c r="M348" i="3"/>
  <c r="K348" i="3"/>
  <c r="P347" i="3"/>
  <c r="D321" i="4" s="1"/>
  <c r="N347" i="3"/>
  <c r="M347" i="3"/>
  <c r="K347" i="3"/>
  <c r="P346" i="3"/>
  <c r="D320" i="4" s="1"/>
  <c r="N346" i="3"/>
  <c r="K346" i="3"/>
  <c r="M346" i="3" s="1"/>
  <c r="P345" i="3"/>
  <c r="D319" i="4" s="1"/>
  <c r="N345" i="3"/>
  <c r="M345" i="3"/>
  <c r="K345" i="3"/>
  <c r="L345" i="3" s="1"/>
  <c r="P344" i="3"/>
  <c r="D318" i="4" s="1"/>
  <c r="N344" i="3"/>
  <c r="M344" i="3"/>
  <c r="K344" i="3"/>
  <c r="P343" i="3"/>
  <c r="D317" i="4" s="1"/>
  <c r="N343" i="3"/>
  <c r="K343" i="3"/>
  <c r="P342" i="3"/>
  <c r="D316" i="4" s="1"/>
  <c r="N342" i="3"/>
  <c r="K342" i="3"/>
  <c r="M342" i="3" s="1"/>
  <c r="P341" i="3"/>
  <c r="D315" i="4" s="1"/>
  <c r="N341" i="3"/>
  <c r="K341" i="3"/>
  <c r="P340" i="3"/>
  <c r="D314" i="4" s="1"/>
  <c r="N340" i="3"/>
  <c r="M340" i="3"/>
  <c r="L340" i="3"/>
  <c r="K340" i="3"/>
  <c r="P339" i="3"/>
  <c r="D313" i="4" s="1"/>
  <c r="N339" i="3"/>
  <c r="M339" i="3"/>
  <c r="K339" i="3"/>
  <c r="P338" i="3"/>
  <c r="D312" i="4" s="1"/>
  <c r="N338" i="3"/>
  <c r="L338" i="3"/>
  <c r="K338" i="3"/>
  <c r="M338" i="3" s="1"/>
  <c r="P337" i="3"/>
  <c r="D311" i="4" s="1"/>
  <c r="N337" i="3"/>
  <c r="M337" i="3"/>
  <c r="K337" i="3"/>
  <c r="P336" i="3"/>
  <c r="D310" i="4" s="1"/>
  <c r="N336" i="3"/>
  <c r="M336" i="3"/>
  <c r="K336" i="3"/>
  <c r="P335" i="3"/>
  <c r="D309" i="4" s="1"/>
  <c r="N335" i="3"/>
  <c r="K335" i="3"/>
  <c r="P334" i="3"/>
  <c r="D308" i="4" s="1"/>
  <c r="N334" i="3"/>
  <c r="K334" i="3"/>
  <c r="M334" i="3" s="1"/>
  <c r="P333" i="3"/>
  <c r="D307" i="4" s="1"/>
  <c r="N333" i="3"/>
  <c r="K333" i="3"/>
  <c r="P332" i="3"/>
  <c r="D306" i="4" s="1"/>
  <c r="N332" i="3"/>
  <c r="M332" i="3"/>
  <c r="L332" i="3"/>
  <c r="K332" i="3"/>
  <c r="P331" i="3"/>
  <c r="D305" i="4" s="1"/>
  <c r="N331" i="3"/>
  <c r="M331" i="3"/>
  <c r="K331" i="3"/>
  <c r="P330" i="3"/>
  <c r="D304" i="4" s="1"/>
  <c r="N330" i="3"/>
  <c r="L330" i="3"/>
  <c r="K330" i="3"/>
  <c r="M330" i="3" s="1"/>
  <c r="P329" i="3"/>
  <c r="D303" i="4" s="1"/>
  <c r="N329" i="3"/>
  <c r="M329" i="3"/>
  <c r="K329" i="3"/>
  <c r="L329" i="3" s="1"/>
  <c r="P328" i="3"/>
  <c r="D302" i="4" s="1"/>
  <c r="L302" i="4" s="1"/>
  <c r="N328" i="3"/>
  <c r="M328" i="3"/>
  <c r="K328" i="3"/>
  <c r="P327" i="3"/>
  <c r="D301" i="4" s="1"/>
  <c r="N327" i="3"/>
  <c r="K327" i="3"/>
  <c r="P326" i="3"/>
  <c r="D300" i="4" s="1"/>
  <c r="N326" i="3"/>
  <c r="K326" i="3"/>
  <c r="M326" i="3" s="1"/>
  <c r="P325" i="3"/>
  <c r="D299" i="4" s="1"/>
  <c r="N325" i="3"/>
  <c r="K325" i="3"/>
  <c r="P324" i="3"/>
  <c r="D298" i="4" s="1"/>
  <c r="N324" i="3"/>
  <c r="M324" i="3"/>
  <c r="L324" i="3"/>
  <c r="K324" i="3"/>
  <c r="P323" i="3"/>
  <c r="D297" i="4" s="1"/>
  <c r="N323" i="3"/>
  <c r="M323" i="3"/>
  <c r="K323" i="3"/>
  <c r="P322" i="3"/>
  <c r="D296" i="4" s="1"/>
  <c r="N322" i="3"/>
  <c r="L322" i="3"/>
  <c r="K322" i="3"/>
  <c r="M322" i="3" s="1"/>
  <c r="P321" i="3"/>
  <c r="D295" i="4" s="1"/>
  <c r="N321" i="3"/>
  <c r="M321" i="3"/>
  <c r="K321" i="3"/>
  <c r="L321" i="3" s="1"/>
  <c r="N320" i="3"/>
  <c r="M320" i="3"/>
  <c r="P320" i="3" s="1"/>
  <c r="D294" i="4" s="1"/>
  <c r="K320" i="3"/>
  <c r="P319" i="3"/>
  <c r="D293" i="4" s="1"/>
  <c r="N319" i="3"/>
  <c r="K319" i="3"/>
  <c r="P318" i="3"/>
  <c r="D292" i="4" s="1"/>
  <c r="N318" i="3"/>
  <c r="K318" i="3"/>
  <c r="M318" i="3" s="1"/>
  <c r="P317" i="3"/>
  <c r="D291" i="4" s="1"/>
  <c r="N317" i="3"/>
  <c r="K317" i="3"/>
  <c r="M317" i="3" s="1"/>
  <c r="P316" i="3"/>
  <c r="D290" i="4" s="1"/>
  <c r="N316" i="3"/>
  <c r="M316" i="3"/>
  <c r="K316" i="3"/>
  <c r="P315" i="3"/>
  <c r="D289" i="4" s="1"/>
  <c r="N315" i="3"/>
  <c r="K315" i="3"/>
  <c r="P314" i="3"/>
  <c r="D288" i="4" s="1"/>
  <c r="N314" i="3"/>
  <c r="L314" i="3"/>
  <c r="K314" i="3"/>
  <c r="M314" i="3" s="1"/>
  <c r="P313" i="3"/>
  <c r="D287" i="4" s="1"/>
  <c r="N313" i="3"/>
  <c r="M313" i="3"/>
  <c r="L313" i="3"/>
  <c r="K313" i="3"/>
  <c r="P312" i="3"/>
  <c r="D286" i="4" s="1"/>
  <c r="N312" i="3"/>
  <c r="M312" i="3"/>
  <c r="K312" i="3"/>
  <c r="P311" i="3"/>
  <c r="D285" i="4" s="1"/>
  <c r="N311" i="3"/>
  <c r="K311" i="3"/>
  <c r="P310" i="3"/>
  <c r="D284" i="4" s="1"/>
  <c r="N310" i="3"/>
  <c r="K310" i="3"/>
  <c r="M310" i="3" s="1"/>
  <c r="P309" i="3"/>
  <c r="D283" i="4" s="1"/>
  <c r="N309" i="3"/>
  <c r="K309" i="3"/>
  <c r="P308" i="3"/>
  <c r="D282" i="4" s="1"/>
  <c r="N308" i="3"/>
  <c r="M308" i="3"/>
  <c r="L308" i="3"/>
  <c r="K308" i="3"/>
  <c r="P307" i="3"/>
  <c r="D281" i="4" s="1"/>
  <c r="N307" i="3"/>
  <c r="K307" i="3"/>
  <c r="L307" i="3" s="1"/>
  <c r="P306" i="3"/>
  <c r="D280" i="4" s="1"/>
  <c r="N306" i="3"/>
  <c r="K306" i="3"/>
  <c r="M306" i="3" s="1"/>
  <c r="P305" i="3"/>
  <c r="D279" i="4" s="1"/>
  <c r="N305" i="3"/>
  <c r="M305" i="3"/>
  <c r="L305" i="3"/>
  <c r="K305" i="3"/>
  <c r="P304" i="3"/>
  <c r="D278" i="4" s="1"/>
  <c r="N304" i="3"/>
  <c r="M304" i="3"/>
  <c r="K304" i="3"/>
  <c r="P303" i="3"/>
  <c r="D277" i="4" s="1"/>
  <c r="N303" i="3"/>
  <c r="K303" i="3"/>
  <c r="P302" i="3"/>
  <c r="D276" i="4" s="1"/>
  <c r="N302" i="3"/>
  <c r="K302" i="3"/>
  <c r="M302" i="3" s="1"/>
  <c r="P301" i="3"/>
  <c r="D275" i="4" s="1"/>
  <c r="N301" i="3"/>
  <c r="K301" i="3"/>
  <c r="P300" i="3"/>
  <c r="D274" i="4" s="1"/>
  <c r="N300" i="3"/>
  <c r="M300" i="3"/>
  <c r="K300" i="3"/>
  <c r="P299" i="3"/>
  <c r="D273" i="4" s="1"/>
  <c r="L273" i="4" s="1"/>
  <c r="N299" i="3"/>
  <c r="K299" i="3"/>
  <c r="P298" i="3"/>
  <c r="D272" i="4" s="1"/>
  <c r="L272" i="4" s="1"/>
  <c r="N298" i="3"/>
  <c r="K298" i="3"/>
  <c r="M298" i="3" s="1"/>
  <c r="P297" i="3"/>
  <c r="D271" i="4" s="1"/>
  <c r="N297" i="3"/>
  <c r="M297" i="3"/>
  <c r="K297" i="3"/>
  <c r="N296" i="3"/>
  <c r="M296" i="3"/>
  <c r="K296" i="3"/>
  <c r="P295" i="3"/>
  <c r="D269" i="4" s="1"/>
  <c r="N295" i="3"/>
  <c r="M295" i="3"/>
  <c r="K295" i="3"/>
  <c r="P294" i="3"/>
  <c r="D268" i="4" s="1"/>
  <c r="N294" i="3"/>
  <c r="K294" i="3"/>
  <c r="M294" i="3" s="1"/>
  <c r="P293" i="3"/>
  <c r="D267" i="4" s="1"/>
  <c r="L267" i="4" s="1"/>
  <c r="N293" i="3"/>
  <c r="M293" i="3"/>
  <c r="K293" i="3"/>
  <c r="P292" i="3"/>
  <c r="D266" i="4" s="1"/>
  <c r="N292" i="3"/>
  <c r="M292" i="3"/>
  <c r="K292" i="3"/>
  <c r="P291" i="3"/>
  <c r="D265" i="4" s="1"/>
  <c r="N291" i="3"/>
  <c r="K291" i="3"/>
  <c r="P290" i="3"/>
  <c r="D264" i="4" s="1"/>
  <c r="N290" i="3"/>
  <c r="K290" i="3"/>
  <c r="N289" i="3"/>
  <c r="K289" i="3"/>
  <c r="M289" i="3" s="1"/>
  <c r="P288" i="3"/>
  <c r="D262" i="4" s="1"/>
  <c r="L262" i="4" s="1"/>
  <c r="N288" i="3"/>
  <c r="M288" i="3"/>
  <c r="K288" i="3"/>
  <c r="P287" i="3"/>
  <c r="D261" i="4" s="1"/>
  <c r="N287" i="3"/>
  <c r="M287" i="3"/>
  <c r="K287" i="3"/>
  <c r="P286" i="3"/>
  <c r="D260" i="4" s="1"/>
  <c r="N286" i="3"/>
  <c r="K286" i="3"/>
  <c r="M286" i="3" s="1"/>
  <c r="P285" i="3"/>
  <c r="D259" i="4" s="1"/>
  <c r="L259" i="4" s="1"/>
  <c r="N285" i="3"/>
  <c r="M285" i="3"/>
  <c r="K285" i="3"/>
  <c r="P284" i="3"/>
  <c r="D258" i="4" s="1"/>
  <c r="N284" i="3"/>
  <c r="M284" i="3"/>
  <c r="K284" i="3"/>
  <c r="P283" i="3"/>
  <c r="D257" i="4" s="1"/>
  <c r="N283" i="3"/>
  <c r="K283" i="3"/>
  <c r="N282" i="3"/>
  <c r="K282" i="3"/>
  <c r="P281" i="3"/>
  <c r="D255" i="4" s="1"/>
  <c r="N281" i="3"/>
  <c r="K281" i="3"/>
  <c r="M281" i="3" s="1"/>
  <c r="P280" i="3"/>
  <c r="D254" i="4" s="1"/>
  <c r="L254" i="4" s="1"/>
  <c r="N280" i="3"/>
  <c r="M280" i="3"/>
  <c r="K280" i="3"/>
  <c r="P279" i="3"/>
  <c r="D253" i="4" s="1"/>
  <c r="N279" i="3"/>
  <c r="M279" i="3"/>
  <c r="K279" i="3"/>
  <c r="P278" i="3"/>
  <c r="D252" i="4" s="1"/>
  <c r="N278" i="3"/>
  <c r="K278" i="3"/>
  <c r="M278" i="3" s="1"/>
  <c r="P277" i="3"/>
  <c r="D251" i="4" s="1"/>
  <c r="N277" i="3"/>
  <c r="M277" i="3"/>
  <c r="K277" i="3"/>
  <c r="P276" i="3"/>
  <c r="D250" i="4" s="1"/>
  <c r="N276" i="3"/>
  <c r="M276" i="3"/>
  <c r="K276" i="3"/>
  <c r="P275" i="3"/>
  <c r="D249" i="4" s="1"/>
  <c r="N275" i="3"/>
  <c r="K275" i="3"/>
  <c r="P274" i="3"/>
  <c r="N274" i="3"/>
  <c r="K274" i="3"/>
  <c r="P273" i="3"/>
  <c r="D247" i="4" s="1"/>
  <c r="N273" i="3"/>
  <c r="K273" i="3"/>
  <c r="M273" i="3" s="1"/>
  <c r="P272" i="3"/>
  <c r="D246" i="4" s="1"/>
  <c r="L246" i="4" s="1"/>
  <c r="N272" i="3"/>
  <c r="M272" i="3"/>
  <c r="K272" i="3"/>
  <c r="P271" i="3"/>
  <c r="D245" i="4" s="1"/>
  <c r="N271" i="3"/>
  <c r="M271" i="3"/>
  <c r="K271" i="3"/>
  <c r="P270" i="3"/>
  <c r="D244" i="4" s="1"/>
  <c r="L244" i="4" s="1"/>
  <c r="N270" i="3"/>
  <c r="K270" i="3"/>
  <c r="M270" i="3" s="1"/>
  <c r="N269" i="3"/>
  <c r="M269" i="3"/>
  <c r="K269" i="3"/>
  <c r="P268" i="3"/>
  <c r="D242" i="4" s="1"/>
  <c r="N268" i="3"/>
  <c r="M268" i="3"/>
  <c r="K268" i="3"/>
  <c r="P267" i="3"/>
  <c r="D241" i="4" s="1"/>
  <c r="N267" i="3"/>
  <c r="K267" i="3"/>
  <c r="P266" i="3"/>
  <c r="D240" i="4" s="1"/>
  <c r="N266" i="3"/>
  <c r="K266" i="3"/>
  <c r="P265" i="3"/>
  <c r="D239" i="4" s="1"/>
  <c r="N265" i="3"/>
  <c r="K265" i="3"/>
  <c r="M265" i="3" s="1"/>
  <c r="N264" i="3"/>
  <c r="M264" i="3"/>
  <c r="K264" i="3"/>
  <c r="P263" i="3"/>
  <c r="D237" i="4" s="1"/>
  <c r="N263" i="3"/>
  <c r="M263" i="3"/>
  <c r="K263" i="3"/>
  <c r="P262" i="3"/>
  <c r="D236" i="4" s="1"/>
  <c r="N262" i="3"/>
  <c r="K262" i="3"/>
  <c r="P261" i="3"/>
  <c r="D235" i="4" s="1"/>
  <c r="L235" i="4" s="1"/>
  <c r="N261" i="3"/>
  <c r="K261" i="3"/>
  <c r="M261" i="3" s="1"/>
  <c r="P260" i="3"/>
  <c r="D234" i="4" s="1"/>
  <c r="N260" i="3"/>
  <c r="M260" i="3"/>
  <c r="K260" i="3"/>
  <c r="N259" i="3"/>
  <c r="M259" i="3"/>
  <c r="K259" i="3"/>
  <c r="P258" i="3"/>
  <c r="D232" i="4" s="1"/>
  <c r="N258" i="3"/>
  <c r="K258" i="3"/>
  <c r="P257" i="3"/>
  <c r="D231" i="4" s="1"/>
  <c r="N257" i="3"/>
  <c r="K257" i="3"/>
  <c r="M257" i="3" s="1"/>
  <c r="P256" i="3"/>
  <c r="D230" i="4" s="1"/>
  <c r="N256" i="3"/>
  <c r="M256" i="3"/>
  <c r="K256" i="3"/>
  <c r="P255" i="3"/>
  <c r="D229" i="4" s="1"/>
  <c r="N255" i="3"/>
  <c r="M255" i="3"/>
  <c r="K255" i="3"/>
  <c r="P254" i="3"/>
  <c r="D228" i="4" s="1"/>
  <c r="N254" i="3"/>
  <c r="K254" i="3"/>
  <c r="N253" i="3"/>
  <c r="K253" i="3"/>
  <c r="M253" i="3" s="1"/>
  <c r="P252" i="3"/>
  <c r="D226" i="4" s="1"/>
  <c r="N252" i="3"/>
  <c r="M252" i="3"/>
  <c r="K252" i="3"/>
  <c r="P251" i="3"/>
  <c r="D225" i="4" s="1"/>
  <c r="N251" i="3"/>
  <c r="M251" i="3"/>
  <c r="K251" i="3"/>
  <c r="P250" i="3"/>
  <c r="D224" i="4" s="1"/>
  <c r="N250" i="3"/>
  <c r="K250" i="3"/>
  <c r="P249" i="3"/>
  <c r="D223" i="4" s="1"/>
  <c r="N249" i="3"/>
  <c r="K249" i="3"/>
  <c r="M249" i="3" s="1"/>
  <c r="N248" i="3"/>
  <c r="M248" i="3"/>
  <c r="K248" i="3"/>
  <c r="P247" i="3"/>
  <c r="D221" i="4" s="1"/>
  <c r="N247" i="3"/>
  <c r="M247" i="3"/>
  <c r="K247" i="3"/>
  <c r="P246" i="3"/>
  <c r="D220" i="4" s="1"/>
  <c r="N246" i="3"/>
  <c r="K246" i="3"/>
  <c r="P245" i="3"/>
  <c r="D219" i="4" s="1"/>
  <c r="N245" i="3"/>
  <c r="K245" i="3"/>
  <c r="M245" i="3" s="1"/>
  <c r="P244" i="3"/>
  <c r="D218" i="4" s="1"/>
  <c r="N244" i="3"/>
  <c r="M244" i="3"/>
  <c r="K244" i="3"/>
  <c r="P243" i="3"/>
  <c r="D217" i="4" s="1"/>
  <c r="N243" i="3"/>
  <c r="M243" i="3"/>
  <c r="K243" i="3"/>
  <c r="L243" i="3" s="1"/>
  <c r="P242" i="3"/>
  <c r="D216" i="4" s="1"/>
  <c r="N242" i="3"/>
  <c r="K242" i="3"/>
  <c r="P241" i="3"/>
  <c r="D215" i="4" s="1"/>
  <c r="N241" i="3"/>
  <c r="K241" i="3"/>
  <c r="M241" i="3" s="1"/>
  <c r="P240" i="3"/>
  <c r="D214" i="4" s="1"/>
  <c r="N240" i="3"/>
  <c r="M240" i="3"/>
  <c r="K240" i="3"/>
  <c r="N239" i="3"/>
  <c r="M239" i="3"/>
  <c r="K239" i="3"/>
  <c r="P238" i="3"/>
  <c r="D212" i="4" s="1"/>
  <c r="E212" i="4" s="1"/>
  <c r="N238" i="3"/>
  <c r="K238" i="3"/>
  <c r="P237" i="3"/>
  <c r="D211" i="4" s="1"/>
  <c r="N237" i="3"/>
  <c r="L237" i="3"/>
  <c r="K237" i="3"/>
  <c r="M237" i="3" s="1"/>
  <c r="P236" i="3"/>
  <c r="D210" i="4" s="1"/>
  <c r="N236" i="3"/>
  <c r="M236" i="3"/>
  <c r="K236" i="3"/>
  <c r="P235" i="3"/>
  <c r="D209" i="4" s="1"/>
  <c r="N235" i="3"/>
  <c r="M235" i="3"/>
  <c r="K235" i="3"/>
  <c r="N234" i="3"/>
  <c r="K234" i="3"/>
  <c r="P233" i="3"/>
  <c r="D207" i="4" s="1"/>
  <c r="N233" i="3"/>
  <c r="L233" i="3"/>
  <c r="K233" i="3"/>
  <c r="M233" i="3" s="1"/>
  <c r="P232" i="3"/>
  <c r="D206" i="4" s="1"/>
  <c r="L206" i="4" s="1"/>
  <c r="N232" i="3"/>
  <c r="M232" i="3"/>
  <c r="K232" i="3"/>
  <c r="P231" i="3"/>
  <c r="D205" i="4" s="1"/>
  <c r="N231" i="3"/>
  <c r="M231" i="3"/>
  <c r="K231" i="3"/>
  <c r="N230" i="3"/>
  <c r="K230" i="3"/>
  <c r="P229" i="3"/>
  <c r="D203" i="4" s="1"/>
  <c r="N229" i="3"/>
  <c r="L229" i="3"/>
  <c r="K229" i="3"/>
  <c r="M229" i="3" s="1"/>
  <c r="P228" i="3"/>
  <c r="N228" i="3"/>
  <c r="M228" i="3"/>
  <c r="K228" i="3"/>
  <c r="P227" i="3"/>
  <c r="D201" i="4" s="1"/>
  <c r="N227" i="3"/>
  <c r="M227" i="3"/>
  <c r="K227" i="3"/>
  <c r="P226" i="3"/>
  <c r="D200" i="4" s="1"/>
  <c r="N226" i="3"/>
  <c r="K226" i="3"/>
  <c r="N225" i="3"/>
  <c r="L225" i="3"/>
  <c r="K225" i="3"/>
  <c r="M225" i="3" s="1"/>
  <c r="P225" i="3" s="1"/>
  <c r="D199" i="4" s="1"/>
  <c r="P224" i="3"/>
  <c r="D198" i="4" s="1"/>
  <c r="N224" i="3"/>
  <c r="M224" i="3"/>
  <c r="K224" i="3"/>
  <c r="P223" i="3"/>
  <c r="D197" i="4" s="1"/>
  <c r="N223" i="3"/>
  <c r="M223" i="3"/>
  <c r="K223" i="3"/>
  <c r="P222" i="3"/>
  <c r="D196" i="4" s="1"/>
  <c r="N222" i="3"/>
  <c r="K222" i="3"/>
  <c r="N221" i="3"/>
  <c r="L221" i="3"/>
  <c r="K221" i="3"/>
  <c r="M221" i="3" s="1"/>
  <c r="P221" i="3" s="1"/>
  <c r="D195" i="4" s="1"/>
  <c r="P220" i="3"/>
  <c r="D194" i="4" s="1"/>
  <c r="N220" i="3"/>
  <c r="M220" i="3"/>
  <c r="K220" i="3"/>
  <c r="P219" i="3"/>
  <c r="D193" i="4" s="1"/>
  <c r="N219" i="3"/>
  <c r="M219" i="3"/>
  <c r="K219" i="3"/>
  <c r="P218" i="3"/>
  <c r="D192" i="4" s="1"/>
  <c r="N218" i="3"/>
  <c r="K218" i="3"/>
  <c r="P217" i="3"/>
  <c r="D191" i="4" s="1"/>
  <c r="N217" i="3"/>
  <c r="L217" i="3"/>
  <c r="K217" i="3"/>
  <c r="M217" i="3" s="1"/>
  <c r="N216" i="3"/>
  <c r="M216" i="3"/>
  <c r="P216" i="3" s="1"/>
  <c r="D190" i="4" s="1"/>
  <c r="L216" i="3"/>
  <c r="K216" i="3"/>
  <c r="P215" i="3"/>
  <c r="D189" i="4" s="1"/>
  <c r="N215" i="3"/>
  <c r="M215" i="3"/>
  <c r="K215" i="3"/>
  <c r="P214" i="3"/>
  <c r="D188" i="4" s="1"/>
  <c r="N214" i="3"/>
  <c r="K214" i="3"/>
  <c r="P213" i="3"/>
  <c r="D187" i="4" s="1"/>
  <c r="N213" i="3"/>
  <c r="L213" i="3"/>
  <c r="K213" i="3"/>
  <c r="M213" i="3" s="1"/>
  <c r="P212" i="3"/>
  <c r="D186" i="4" s="1"/>
  <c r="N212" i="3"/>
  <c r="M212" i="3"/>
  <c r="L212" i="3"/>
  <c r="K212" i="3"/>
  <c r="P211" i="3"/>
  <c r="D185" i="4" s="1"/>
  <c r="L185" i="4" s="1"/>
  <c r="N211" i="3"/>
  <c r="M211" i="3"/>
  <c r="K211" i="3"/>
  <c r="P210" i="3"/>
  <c r="D184" i="4" s="1"/>
  <c r="N210" i="3"/>
  <c r="K210" i="3"/>
  <c r="P209" i="3"/>
  <c r="D183" i="4" s="1"/>
  <c r="N209" i="3"/>
  <c r="L209" i="3"/>
  <c r="K209" i="3"/>
  <c r="M209" i="3" s="1"/>
  <c r="P208" i="3"/>
  <c r="D182" i="4" s="1"/>
  <c r="N208" i="3"/>
  <c r="M208" i="3"/>
  <c r="L208" i="3"/>
  <c r="K208" i="3"/>
  <c r="P207" i="3"/>
  <c r="D181" i="4" s="1"/>
  <c r="N207" i="3"/>
  <c r="M207" i="3"/>
  <c r="K207" i="3"/>
  <c r="P206" i="3"/>
  <c r="D180" i="4" s="1"/>
  <c r="N206" i="3"/>
  <c r="K206" i="3"/>
  <c r="P205" i="3"/>
  <c r="D179" i="4" s="1"/>
  <c r="N205" i="3"/>
  <c r="L205" i="3"/>
  <c r="K205" i="3"/>
  <c r="M205" i="3" s="1"/>
  <c r="P204" i="3"/>
  <c r="D178" i="4" s="1"/>
  <c r="N204" i="3"/>
  <c r="M204" i="3"/>
  <c r="L204" i="3"/>
  <c r="K204" i="3"/>
  <c r="P203" i="3"/>
  <c r="D177" i="4" s="1"/>
  <c r="N203" i="3"/>
  <c r="M203" i="3"/>
  <c r="K203" i="3"/>
  <c r="N202" i="3"/>
  <c r="K202" i="3"/>
  <c r="P201" i="3"/>
  <c r="D175" i="4" s="1"/>
  <c r="N201" i="3"/>
  <c r="L201" i="3"/>
  <c r="K201" i="3"/>
  <c r="M201" i="3" s="1"/>
  <c r="P200" i="3"/>
  <c r="D174" i="4" s="1"/>
  <c r="N200" i="3"/>
  <c r="M200" i="3"/>
  <c r="L200" i="3"/>
  <c r="K200" i="3"/>
  <c r="P199" i="3"/>
  <c r="D173" i="4" s="1"/>
  <c r="N199" i="3"/>
  <c r="M199" i="3"/>
  <c r="K199" i="3"/>
  <c r="P198" i="3"/>
  <c r="D172" i="4" s="1"/>
  <c r="N198" i="3"/>
  <c r="K198" i="3"/>
  <c r="P197" i="3"/>
  <c r="D171" i="4" s="1"/>
  <c r="N197" i="3"/>
  <c r="L197" i="3"/>
  <c r="K197" i="3"/>
  <c r="M197" i="3" s="1"/>
  <c r="P196" i="3"/>
  <c r="D170" i="4" s="1"/>
  <c r="N196" i="3"/>
  <c r="M196" i="3"/>
  <c r="L196" i="3"/>
  <c r="K196" i="3"/>
  <c r="P195" i="3"/>
  <c r="D169" i="4" s="1"/>
  <c r="L169" i="4" s="1"/>
  <c r="N195" i="3"/>
  <c r="M195" i="3"/>
  <c r="K195" i="3"/>
  <c r="P194" i="3"/>
  <c r="D168" i="4" s="1"/>
  <c r="N194" i="3"/>
  <c r="K194" i="3"/>
  <c r="P193" i="3"/>
  <c r="D167" i="4" s="1"/>
  <c r="N193" i="3"/>
  <c r="L193" i="3"/>
  <c r="K193" i="3"/>
  <c r="M193" i="3" s="1"/>
  <c r="N192" i="3"/>
  <c r="M192" i="3"/>
  <c r="L192" i="3"/>
  <c r="K192" i="3"/>
  <c r="P191" i="3"/>
  <c r="D165" i="4" s="1"/>
  <c r="N191" i="3"/>
  <c r="M191" i="3"/>
  <c r="K191" i="3"/>
  <c r="L191" i="3" s="1"/>
  <c r="P190" i="3"/>
  <c r="D164" i="4" s="1"/>
  <c r="N190" i="3"/>
  <c r="K190" i="3"/>
  <c r="P189" i="3"/>
  <c r="D163" i="4" s="1"/>
  <c r="N189" i="3"/>
  <c r="K189" i="3"/>
  <c r="M189" i="3" s="1"/>
  <c r="P188" i="3"/>
  <c r="D162" i="4" s="1"/>
  <c r="N188" i="3"/>
  <c r="M188" i="3"/>
  <c r="L188" i="3"/>
  <c r="K188" i="3"/>
  <c r="P187" i="3"/>
  <c r="D161" i="4" s="1"/>
  <c r="N187" i="3"/>
  <c r="M187" i="3"/>
  <c r="K187" i="3"/>
  <c r="L187" i="3" s="1"/>
  <c r="P186" i="3"/>
  <c r="D160" i="4" s="1"/>
  <c r="N186" i="3"/>
  <c r="K186" i="3"/>
  <c r="P185" i="3"/>
  <c r="D159" i="4" s="1"/>
  <c r="N185" i="3"/>
  <c r="K185" i="3"/>
  <c r="M185" i="3" s="1"/>
  <c r="P184" i="3"/>
  <c r="D158" i="4" s="1"/>
  <c r="N184" i="3"/>
  <c r="M184" i="3"/>
  <c r="L184" i="3"/>
  <c r="K184" i="3"/>
  <c r="P183" i="3"/>
  <c r="D157" i="4" s="1"/>
  <c r="N183" i="3"/>
  <c r="M183" i="3"/>
  <c r="K183" i="3"/>
  <c r="L183" i="3" s="1"/>
  <c r="P182" i="3"/>
  <c r="D156" i="4" s="1"/>
  <c r="N182" i="3"/>
  <c r="K182" i="3"/>
  <c r="P181" i="3"/>
  <c r="D155" i="4" s="1"/>
  <c r="N181" i="3"/>
  <c r="K181" i="3"/>
  <c r="M181" i="3" s="1"/>
  <c r="P180" i="3"/>
  <c r="D154" i="4" s="1"/>
  <c r="N180" i="3"/>
  <c r="M180" i="3"/>
  <c r="K180" i="3"/>
  <c r="P179" i="3"/>
  <c r="D153" i="4" s="1"/>
  <c r="N179" i="3"/>
  <c r="M179" i="3"/>
  <c r="K179" i="3"/>
  <c r="P178" i="3"/>
  <c r="D152" i="4" s="1"/>
  <c r="N178" i="3"/>
  <c r="K178" i="3"/>
  <c r="P177" i="3"/>
  <c r="D151" i="4" s="1"/>
  <c r="N177" i="3"/>
  <c r="K177" i="3"/>
  <c r="M177" i="3" s="1"/>
  <c r="P176" i="3"/>
  <c r="D150" i="4" s="1"/>
  <c r="N176" i="3"/>
  <c r="M176" i="3"/>
  <c r="K176" i="3"/>
  <c r="P175" i="3"/>
  <c r="D149" i="4" s="1"/>
  <c r="N175" i="3"/>
  <c r="M175" i="3"/>
  <c r="K175" i="3"/>
  <c r="P174" i="3"/>
  <c r="D148" i="4" s="1"/>
  <c r="N174" i="3"/>
  <c r="K174" i="3"/>
  <c r="P173" i="3"/>
  <c r="D147" i="4" s="1"/>
  <c r="N173" i="3"/>
  <c r="K173" i="3"/>
  <c r="M173" i="3" s="1"/>
  <c r="P172" i="3"/>
  <c r="D146" i="4" s="1"/>
  <c r="N172" i="3"/>
  <c r="M172" i="3"/>
  <c r="K172" i="3"/>
  <c r="P171" i="3"/>
  <c r="D145" i="4" s="1"/>
  <c r="N171" i="3"/>
  <c r="M171" i="3"/>
  <c r="K171" i="3"/>
  <c r="P170" i="3"/>
  <c r="D144" i="4" s="1"/>
  <c r="N170" i="3"/>
  <c r="K170" i="3"/>
  <c r="P169" i="3"/>
  <c r="D143" i="4" s="1"/>
  <c r="N169" i="3"/>
  <c r="K169" i="3"/>
  <c r="M169" i="3" s="1"/>
  <c r="P168" i="3"/>
  <c r="D142" i="4" s="1"/>
  <c r="N168" i="3"/>
  <c r="M168" i="3"/>
  <c r="K168" i="3"/>
  <c r="P167" i="3"/>
  <c r="D141" i="4" s="1"/>
  <c r="N167" i="3"/>
  <c r="M167" i="3"/>
  <c r="K167" i="3"/>
  <c r="P166" i="3"/>
  <c r="D140" i="4" s="1"/>
  <c r="N166" i="3"/>
  <c r="K166" i="3"/>
  <c r="P165" i="3"/>
  <c r="D139" i="4" s="1"/>
  <c r="N165" i="3"/>
  <c r="K165" i="3"/>
  <c r="M165" i="3" s="1"/>
  <c r="P164" i="3"/>
  <c r="D138" i="4" s="1"/>
  <c r="N164" i="3"/>
  <c r="M164" i="3"/>
  <c r="K164" i="3"/>
  <c r="P163" i="3"/>
  <c r="D137" i="4" s="1"/>
  <c r="N163" i="3"/>
  <c r="M163" i="3"/>
  <c r="K163" i="3"/>
  <c r="P162" i="3"/>
  <c r="D136" i="4" s="1"/>
  <c r="N162" i="3"/>
  <c r="K162" i="3"/>
  <c r="P161" i="3"/>
  <c r="D135" i="4" s="1"/>
  <c r="N161" i="3"/>
  <c r="K161" i="3"/>
  <c r="M161" i="3" s="1"/>
  <c r="P160" i="3"/>
  <c r="D134" i="4" s="1"/>
  <c r="N160" i="3"/>
  <c r="M160" i="3"/>
  <c r="K160" i="3"/>
  <c r="P159" i="3"/>
  <c r="D133" i="4" s="1"/>
  <c r="N159" i="3"/>
  <c r="M159" i="3"/>
  <c r="K159" i="3"/>
  <c r="P158" i="3"/>
  <c r="D132" i="4" s="1"/>
  <c r="N158" i="3"/>
  <c r="K158" i="3"/>
  <c r="M158" i="3" s="1"/>
  <c r="P157" i="3"/>
  <c r="D131" i="4" s="1"/>
  <c r="N157" i="3"/>
  <c r="M157" i="3"/>
  <c r="K157" i="3"/>
  <c r="P156" i="3"/>
  <c r="D130" i="4" s="1"/>
  <c r="N156" i="3"/>
  <c r="M156" i="3"/>
  <c r="K156" i="3"/>
  <c r="P155" i="3"/>
  <c r="D129" i="4" s="1"/>
  <c r="E129" i="4" s="1"/>
  <c r="N155" i="3"/>
  <c r="M155" i="3"/>
  <c r="K155" i="3"/>
  <c r="P154" i="3"/>
  <c r="D128" i="4" s="1"/>
  <c r="N154" i="3"/>
  <c r="K154" i="3"/>
  <c r="M154" i="3" s="1"/>
  <c r="P153" i="3"/>
  <c r="D127" i="4" s="1"/>
  <c r="N153" i="3"/>
  <c r="K153" i="3"/>
  <c r="M153" i="3" s="1"/>
  <c r="P152" i="3"/>
  <c r="D126" i="4" s="1"/>
  <c r="N152" i="3"/>
  <c r="M152" i="3"/>
  <c r="K152" i="3"/>
  <c r="P151" i="3"/>
  <c r="D125" i="4" s="1"/>
  <c r="N151" i="3"/>
  <c r="M151" i="3"/>
  <c r="K151" i="3"/>
  <c r="P150" i="3"/>
  <c r="D124" i="4" s="1"/>
  <c r="N150" i="3"/>
  <c r="L150" i="3"/>
  <c r="K150" i="3"/>
  <c r="M150" i="3" s="1"/>
  <c r="P149" i="3"/>
  <c r="D123" i="4" s="1"/>
  <c r="N149" i="3"/>
  <c r="M149" i="3"/>
  <c r="K149" i="3"/>
  <c r="P148" i="3"/>
  <c r="D122" i="4" s="1"/>
  <c r="N148" i="3"/>
  <c r="M148" i="3"/>
  <c r="K148" i="3"/>
  <c r="P147" i="3"/>
  <c r="D121" i="4" s="1"/>
  <c r="E121" i="4" s="1"/>
  <c r="N147" i="3"/>
  <c r="M147" i="3"/>
  <c r="K147" i="3"/>
  <c r="P146" i="3"/>
  <c r="D120" i="4" s="1"/>
  <c r="N146" i="3"/>
  <c r="K146" i="3"/>
  <c r="M146" i="3" s="1"/>
  <c r="P145" i="3"/>
  <c r="D119" i="4" s="1"/>
  <c r="N145" i="3"/>
  <c r="K145" i="3"/>
  <c r="M145" i="3" s="1"/>
  <c r="P144" i="3"/>
  <c r="D118" i="4" s="1"/>
  <c r="N144" i="3"/>
  <c r="M144" i="3"/>
  <c r="L144" i="3"/>
  <c r="K144" i="3"/>
  <c r="P143" i="3"/>
  <c r="D117" i="4" s="1"/>
  <c r="N143" i="3"/>
  <c r="M143" i="3"/>
  <c r="K143" i="3"/>
  <c r="P142" i="3"/>
  <c r="D116" i="4" s="1"/>
  <c r="N142" i="3"/>
  <c r="L142" i="3"/>
  <c r="K142" i="3"/>
  <c r="M142" i="3" s="1"/>
  <c r="P141" i="3"/>
  <c r="D115" i="4" s="1"/>
  <c r="N141" i="3"/>
  <c r="M141" i="3"/>
  <c r="K141" i="3"/>
  <c r="P140" i="3"/>
  <c r="D114" i="4" s="1"/>
  <c r="N140" i="3"/>
  <c r="M140" i="3"/>
  <c r="K140" i="3"/>
  <c r="P139" i="3"/>
  <c r="D113" i="4" s="1"/>
  <c r="E113" i="4" s="1"/>
  <c r="N139" i="3"/>
  <c r="M139" i="3"/>
  <c r="K139" i="3"/>
  <c r="P138" i="3"/>
  <c r="D112" i="4" s="1"/>
  <c r="N138" i="3"/>
  <c r="K138" i="3"/>
  <c r="M138" i="3" s="1"/>
  <c r="P137" i="3"/>
  <c r="D111" i="4" s="1"/>
  <c r="N137" i="3"/>
  <c r="K137" i="3"/>
  <c r="M137" i="3" s="1"/>
  <c r="P136" i="3"/>
  <c r="D110" i="4" s="1"/>
  <c r="N136" i="3"/>
  <c r="M136" i="3"/>
  <c r="L136" i="3"/>
  <c r="K136" i="3"/>
  <c r="P135" i="3"/>
  <c r="D109" i="4" s="1"/>
  <c r="N135" i="3"/>
  <c r="M135" i="3"/>
  <c r="K135" i="3"/>
  <c r="P134" i="3"/>
  <c r="D108" i="4" s="1"/>
  <c r="N134" i="3"/>
  <c r="L134" i="3"/>
  <c r="K134" i="3"/>
  <c r="M134" i="3" s="1"/>
  <c r="P133" i="3"/>
  <c r="D107" i="4" s="1"/>
  <c r="N133" i="3"/>
  <c r="M133" i="3"/>
  <c r="K133" i="3"/>
  <c r="P132" i="3"/>
  <c r="D106" i="4" s="1"/>
  <c r="N132" i="3"/>
  <c r="M132" i="3"/>
  <c r="K132" i="3"/>
  <c r="P131" i="3"/>
  <c r="D105" i="4" s="1"/>
  <c r="E105" i="4" s="1"/>
  <c r="N131" i="3"/>
  <c r="M131" i="3"/>
  <c r="K131" i="3"/>
  <c r="P130" i="3"/>
  <c r="D104" i="4" s="1"/>
  <c r="N130" i="3"/>
  <c r="K130" i="3"/>
  <c r="M130" i="3" s="1"/>
  <c r="P129" i="3"/>
  <c r="D103" i="4" s="1"/>
  <c r="N129" i="3"/>
  <c r="K129" i="3"/>
  <c r="M129" i="3" s="1"/>
  <c r="P128" i="3"/>
  <c r="D102" i="4" s="1"/>
  <c r="N128" i="3"/>
  <c r="M128" i="3"/>
  <c r="L128" i="3"/>
  <c r="K128" i="3"/>
  <c r="P127" i="3"/>
  <c r="D101" i="4" s="1"/>
  <c r="N127" i="3"/>
  <c r="M127" i="3"/>
  <c r="K127" i="3"/>
  <c r="P126" i="3"/>
  <c r="D100" i="4" s="1"/>
  <c r="N126" i="3"/>
  <c r="L126" i="3"/>
  <c r="K126" i="3"/>
  <c r="M126" i="3" s="1"/>
  <c r="P125" i="3"/>
  <c r="D99" i="4" s="1"/>
  <c r="N125" i="3"/>
  <c r="M125" i="3"/>
  <c r="K125" i="3"/>
  <c r="P124" i="3"/>
  <c r="D98" i="4" s="1"/>
  <c r="N124" i="3"/>
  <c r="M124" i="3"/>
  <c r="K124" i="3"/>
  <c r="P123" i="3"/>
  <c r="D97" i="4" s="1"/>
  <c r="E97" i="4" s="1"/>
  <c r="N123" i="3"/>
  <c r="M123" i="3"/>
  <c r="K123" i="3"/>
  <c r="P122" i="3"/>
  <c r="D96" i="4" s="1"/>
  <c r="N122" i="3"/>
  <c r="K122" i="3"/>
  <c r="M122" i="3" s="1"/>
  <c r="P121" i="3"/>
  <c r="D95" i="4" s="1"/>
  <c r="N121" i="3"/>
  <c r="K121" i="3"/>
  <c r="M121" i="3" s="1"/>
  <c r="P120" i="3"/>
  <c r="D94" i="4" s="1"/>
  <c r="N120" i="3"/>
  <c r="M120" i="3"/>
  <c r="L120" i="3"/>
  <c r="K120" i="3"/>
  <c r="P119" i="3"/>
  <c r="D93" i="4" s="1"/>
  <c r="N119" i="3"/>
  <c r="M119" i="3"/>
  <c r="K119" i="3"/>
  <c r="L119" i="3" s="1"/>
  <c r="P118" i="3"/>
  <c r="D92" i="4" s="1"/>
  <c r="N118" i="3"/>
  <c r="L118" i="3"/>
  <c r="K118" i="3"/>
  <c r="M118" i="3" s="1"/>
  <c r="P117" i="3"/>
  <c r="D91" i="4" s="1"/>
  <c r="N117" i="3"/>
  <c r="M117" i="3"/>
  <c r="L117" i="3"/>
  <c r="K117" i="3"/>
  <c r="P116" i="3"/>
  <c r="D90" i="4" s="1"/>
  <c r="N116" i="3"/>
  <c r="M116" i="3"/>
  <c r="K116" i="3"/>
  <c r="P115" i="3"/>
  <c r="D89" i="4" s="1"/>
  <c r="E89" i="4" s="1"/>
  <c r="N115" i="3"/>
  <c r="M115" i="3"/>
  <c r="K115" i="3"/>
  <c r="P114" i="3"/>
  <c r="D88" i="4" s="1"/>
  <c r="N114" i="3"/>
  <c r="K114" i="3"/>
  <c r="M114" i="3" s="1"/>
  <c r="P113" i="3"/>
  <c r="D87" i="4" s="1"/>
  <c r="N113" i="3"/>
  <c r="K113" i="3"/>
  <c r="M113" i="3" s="1"/>
  <c r="P112" i="3"/>
  <c r="N112" i="3"/>
  <c r="M112" i="3"/>
  <c r="L112" i="3"/>
  <c r="K112" i="3"/>
  <c r="N111" i="3"/>
  <c r="M111" i="3"/>
  <c r="P111" i="3" s="1"/>
  <c r="D85" i="4" s="1"/>
  <c r="K111" i="3"/>
  <c r="L111" i="3" s="1"/>
  <c r="P110" i="3"/>
  <c r="D84" i="4" s="1"/>
  <c r="N110" i="3"/>
  <c r="L110" i="3"/>
  <c r="K110" i="3"/>
  <c r="M110" i="3" s="1"/>
  <c r="P109" i="3"/>
  <c r="D83" i="4" s="1"/>
  <c r="N109" i="3"/>
  <c r="M109" i="3"/>
  <c r="L109" i="3"/>
  <c r="K109" i="3"/>
  <c r="P108" i="3"/>
  <c r="D82" i="4" s="1"/>
  <c r="L82" i="4" s="1"/>
  <c r="N108" i="3"/>
  <c r="M108" i="3"/>
  <c r="K108" i="3"/>
  <c r="P107" i="3"/>
  <c r="D81" i="4" s="1"/>
  <c r="N107" i="3"/>
  <c r="M107" i="3"/>
  <c r="K107" i="3"/>
  <c r="P106" i="3"/>
  <c r="D80" i="4" s="1"/>
  <c r="N106" i="3"/>
  <c r="K106" i="3"/>
  <c r="M106" i="3" s="1"/>
  <c r="P105" i="3"/>
  <c r="D79" i="4" s="1"/>
  <c r="N105" i="3"/>
  <c r="K105" i="3"/>
  <c r="M105" i="3" s="1"/>
  <c r="P104" i="3"/>
  <c r="N104" i="3"/>
  <c r="M104" i="3"/>
  <c r="L104" i="3"/>
  <c r="K104" i="3"/>
  <c r="P103" i="3"/>
  <c r="D77" i="4" s="1"/>
  <c r="L77" i="4" s="1"/>
  <c r="N103" i="3"/>
  <c r="M103" i="3"/>
  <c r="K103" i="3"/>
  <c r="L103" i="3" s="1"/>
  <c r="P102" i="3"/>
  <c r="D76" i="4" s="1"/>
  <c r="N102" i="3"/>
  <c r="L102" i="3"/>
  <c r="K102" i="3"/>
  <c r="M102" i="3" s="1"/>
  <c r="P101" i="3"/>
  <c r="D75" i="4" s="1"/>
  <c r="N101" i="3"/>
  <c r="M101" i="3"/>
  <c r="L101" i="3"/>
  <c r="K101" i="3"/>
  <c r="N100" i="3"/>
  <c r="M100" i="3"/>
  <c r="P100" i="3" s="1"/>
  <c r="D74" i="4" s="1"/>
  <c r="L100" i="3"/>
  <c r="K100" i="3"/>
  <c r="P99" i="3"/>
  <c r="D73" i="4" s="1"/>
  <c r="N99" i="3"/>
  <c r="M99" i="3"/>
  <c r="K99" i="3"/>
  <c r="P98" i="3"/>
  <c r="D72" i="4" s="1"/>
  <c r="L72" i="4" s="1"/>
  <c r="N98" i="3"/>
  <c r="L98" i="3"/>
  <c r="K98" i="3"/>
  <c r="M98" i="3" s="1"/>
  <c r="P97" i="3"/>
  <c r="D71" i="4" s="1"/>
  <c r="N97" i="3"/>
  <c r="M97" i="3"/>
  <c r="K97" i="3"/>
  <c r="P96" i="3"/>
  <c r="D70" i="4" s="1"/>
  <c r="E70" i="4" s="1"/>
  <c r="N96" i="3"/>
  <c r="M96" i="3"/>
  <c r="K96" i="3"/>
  <c r="P95" i="3"/>
  <c r="D69" i="4" s="1"/>
  <c r="L69" i="4" s="1"/>
  <c r="N95" i="3"/>
  <c r="K95" i="3"/>
  <c r="L95" i="3" s="1"/>
  <c r="P94" i="3"/>
  <c r="D68" i="4" s="1"/>
  <c r="N94" i="3"/>
  <c r="K94" i="3"/>
  <c r="M94" i="3" s="1"/>
  <c r="P93" i="3"/>
  <c r="D67" i="4" s="1"/>
  <c r="N93" i="3"/>
  <c r="L93" i="3"/>
  <c r="K93" i="3"/>
  <c r="M93" i="3" s="1"/>
  <c r="P92" i="3"/>
  <c r="N92" i="3"/>
  <c r="M92" i="3"/>
  <c r="L92" i="3"/>
  <c r="K92" i="3"/>
  <c r="P91" i="3"/>
  <c r="D65" i="4" s="1"/>
  <c r="N91" i="3"/>
  <c r="M91" i="3"/>
  <c r="K91" i="3"/>
  <c r="P90" i="3"/>
  <c r="D64" i="4" s="1"/>
  <c r="L64" i="4" s="1"/>
  <c r="N90" i="3"/>
  <c r="L90" i="3"/>
  <c r="K90" i="3"/>
  <c r="M90" i="3" s="1"/>
  <c r="P89" i="3"/>
  <c r="D63" i="4" s="1"/>
  <c r="N89" i="3"/>
  <c r="M89" i="3"/>
  <c r="K89" i="3"/>
  <c r="P88" i="3"/>
  <c r="D62" i="4" s="1"/>
  <c r="E62" i="4" s="1"/>
  <c r="N88" i="3"/>
  <c r="M88" i="3"/>
  <c r="K88" i="3"/>
  <c r="P87" i="3"/>
  <c r="D61" i="4" s="1"/>
  <c r="L61" i="4" s="1"/>
  <c r="N87" i="3"/>
  <c r="K87" i="3"/>
  <c r="L87" i="3" s="1"/>
  <c r="P86" i="3"/>
  <c r="D60" i="4" s="1"/>
  <c r="N86" i="3"/>
  <c r="K86" i="3"/>
  <c r="M86" i="3" s="1"/>
  <c r="P85" i="3"/>
  <c r="D59" i="4" s="1"/>
  <c r="N85" i="3"/>
  <c r="L85" i="3"/>
  <c r="K85" i="3"/>
  <c r="M85" i="3" s="1"/>
  <c r="P84" i="3"/>
  <c r="N84" i="3"/>
  <c r="M84" i="3"/>
  <c r="L84" i="3"/>
  <c r="K84" i="3"/>
  <c r="P83" i="3"/>
  <c r="D57" i="4" s="1"/>
  <c r="N83" i="3"/>
  <c r="M83" i="3"/>
  <c r="K83" i="3"/>
  <c r="P82" i="3"/>
  <c r="D56" i="4" s="1"/>
  <c r="L56" i="4" s="1"/>
  <c r="N82" i="3"/>
  <c r="L82" i="3"/>
  <c r="K82" i="3"/>
  <c r="M82" i="3" s="1"/>
  <c r="P81" i="3"/>
  <c r="D55" i="4" s="1"/>
  <c r="N81" i="3"/>
  <c r="M81" i="3"/>
  <c r="K81" i="3"/>
  <c r="P80" i="3"/>
  <c r="D54" i="4" s="1"/>
  <c r="E54" i="4" s="1"/>
  <c r="N80" i="3"/>
  <c r="M80" i="3"/>
  <c r="K80" i="3"/>
  <c r="P79" i="3"/>
  <c r="D53" i="4" s="1"/>
  <c r="L53" i="4" s="1"/>
  <c r="N79" i="3"/>
  <c r="K79" i="3"/>
  <c r="L79" i="3" s="1"/>
  <c r="P78" i="3"/>
  <c r="D52" i="4" s="1"/>
  <c r="N78" i="3"/>
  <c r="K78" i="3"/>
  <c r="M78" i="3" s="1"/>
  <c r="P77" i="3"/>
  <c r="D51" i="4" s="1"/>
  <c r="N77" i="3"/>
  <c r="L77" i="3"/>
  <c r="K77" i="3"/>
  <c r="M77" i="3" s="1"/>
  <c r="N76" i="3"/>
  <c r="M76" i="3"/>
  <c r="L76" i="3"/>
  <c r="K76" i="3"/>
  <c r="P75" i="3"/>
  <c r="D49" i="4" s="1"/>
  <c r="N75" i="3"/>
  <c r="M75" i="3"/>
  <c r="K75" i="3"/>
  <c r="L75" i="3" s="1"/>
  <c r="P74" i="3"/>
  <c r="D48" i="4" s="1"/>
  <c r="L48" i="4" s="1"/>
  <c r="N74" i="3"/>
  <c r="L74" i="3"/>
  <c r="K74" i="3"/>
  <c r="M74" i="3" s="1"/>
  <c r="P73" i="3"/>
  <c r="D47" i="4" s="1"/>
  <c r="N73" i="3"/>
  <c r="M73" i="3"/>
  <c r="L73" i="3"/>
  <c r="K73" i="3"/>
  <c r="P72" i="3"/>
  <c r="D46" i="4" s="1"/>
  <c r="N72" i="3"/>
  <c r="M72" i="3"/>
  <c r="K72" i="3"/>
  <c r="P71" i="3"/>
  <c r="D45" i="4" s="1"/>
  <c r="L45" i="4" s="1"/>
  <c r="N71" i="3"/>
  <c r="M71" i="3"/>
  <c r="K71" i="3"/>
  <c r="P70" i="3"/>
  <c r="D44" i="4" s="1"/>
  <c r="N70" i="3"/>
  <c r="K70" i="3"/>
  <c r="M70" i="3" s="1"/>
  <c r="P69" i="3"/>
  <c r="D43" i="4" s="1"/>
  <c r="N69" i="3"/>
  <c r="K69" i="3"/>
  <c r="M69" i="3" s="1"/>
  <c r="P68" i="3"/>
  <c r="N68" i="3"/>
  <c r="M68" i="3"/>
  <c r="L68" i="3"/>
  <c r="K68" i="3"/>
  <c r="P67" i="3"/>
  <c r="D41" i="4" s="1"/>
  <c r="N67" i="3"/>
  <c r="M67" i="3"/>
  <c r="K67" i="3"/>
  <c r="L67" i="3" s="1"/>
  <c r="P66" i="3"/>
  <c r="D40" i="4" s="1"/>
  <c r="L40" i="4" s="1"/>
  <c r="N66" i="3"/>
  <c r="L66" i="3"/>
  <c r="K66" i="3"/>
  <c r="M66" i="3" s="1"/>
  <c r="P65" i="3"/>
  <c r="D39" i="4" s="1"/>
  <c r="N65" i="3"/>
  <c r="M65" i="3"/>
  <c r="L65" i="3"/>
  <c r="K65" i="3"/>
  <c r="P64" i="3"/>
  <c r="D38" i="4" s="1"/>
  <c r="N64" i="3"/>
  <c r="M64" i="3"/>
  <c r="K64" i="3"/>
  <c r="P63" i="3"/>
  <c r="D37" i="4" s="1"/>
  <c r="L37" i="4" s="1"/>
  <c r="N63" i="3"/>
  <c r="M63" i="3"/>
  <c r="K63" i="3"/>
  <c r="P62" i="3"/>
  <c r="D36" i="4" s="1"/>
  <c r="N62" i="3"/>
  <c r="K62" i="3"/>
  <c r="M62" i="3" s="1"/>
  <c r="P61" i="3"/>
  <c r="D35" i="4" s="1"/>
  <c r="N61" i="3"/>
  <c r="K61" i="3"/>
  <c r="M61" i="3" s="1"/>
  <c r="P60" i="3"/>
  <c r="N60" i="3"/>
  <c r="M60" i="3"/>
  <c r="K60" i="3"/>
  <c r="P59" i="3"/>
  <c r="D33" i="4" s="1"/>
  <c r="N59" i="3"/>
  <c r="M59" i="3"/>
  <c r="K59" i="3"/>
  <c r="P58" i="3"/>
  <c r="D32" i="4" s="1"/>
  <c r="L32" i="4" s="1"/>
  <c r="N58" i="3"/>
  <c r="K58" i="3"/>
  <c r="M58" i="3" s="1"/>
  <c r="P57" i="3"/>
  <c r="D31" i="4" s="1"/>
  <c r="N57" i="3"/>
  <c r="M57" i="3"/>
  <c r="K57" i="3"/>
  <c r="P56" i="3"/>
  <c r="D30" i="4" s="1"/>
  <c r="N56" i="3"/>
  <c r="M56" i="3"/>
  <c r="K56" i="3"/>
  <c r="P55" i="3"/>
  <c r="D29" i="4" s="1"/>
  <c r="L29" i="4" s="1"/>
  <c r="N55" i="3"/>
  <c r="M55" i="3"/>
  <c r="K55" i="3"/>
  <c r="P54" i="3"/>
  <c r="D28" i="4" s="1"/>
  <c r="N54" i="3"/>
  <c r="K54" i="3"/>
  <c r="M54" i="3" s="1"/>
  <c r="P53" i="3"/>
  <c r="D27" i="4" s="1"/>
  <c r="N53" i="3"/>
  <c r="K53" i="3"/>
  <c r="M53" i="3" s="1"/>
  <c r="P52" i="3"/>
  <c r="N52" i="3"/>
  <c r="M52" i="3"/>
  <c r="K52" i="3"/>
  <c r="P51" i="3"/>
  <c r="D25" i="4" s="1"/>
  <c r="N51" i="3"/>
  <c r="M51" i="3"/>
  <c r="K51" i="3"/>
  <c r="P50" i="3"/>
  <c r="D24" i="4" s="1"/>
  <c r="L24" i="4" s="1"/>
  <c r="N50" i="3"/>
  <c r="K50" i="3"/>
  <c r="M50" i="3" s="1"/>
  <c r="P49" i="3"/>
  <c r="D23" i="4" s="1"/>
  <c r="N49" i="3"/>
  <c r="M49" i="3"/>
  <c r="K49" i="3"/>
  <c r="P48" i="3"/>
  <c r="D22" i="4" s="1"/>
  <c r="N48" i="3"/>
  <c r="M48" i="3"/>
  <c r="K48" i="3"/>
  <c r="N47" i="3"/>
  <c r="M47" i="3"/>
  <c r="K47" i="3"/>
  <c r="P46" i="3"/>
  <c r="D20" i="4" s="1"/>
  <c r="N46" i="3"/>
  <c r="K46" i="3"/>
  <c r="M46" i="3" s="1"/>
  <c r="P45" i="3"/>
  <c r="D19" i="4" s="1"/>
  <c r="N45" i="3"/>
  <c r="K45" i="3"/>
  <c r="M45" i="3" s="1"/>
  <c r="P44" i="3"/>
  <c r="N44" i="3"/>
  <c r="M44" i="3"/>
  <c r="K44" i="3"/>
  <c r="P43" i="3"/>
  <c r="D17" i="4" s="1"/>
  <c r="N43" i="3"/>
  <c r="M43" i="3"/>
  <c r="K43" i="3"/>
  <c r="P42" i="3"/>
  <c r="D16" i="4" s="1"/>
  <c r="L16" i="4" s="1"/>
  <c r="N42" i="3"/>
  <c r="K42" i="3"/>
  <c r="M42" i="3" s="1"/>
  <c r="P41" i="3"/>
  <c r="D15" i="4" s="1"/>
  <c r="N41" i="3"/>
  <c r="M41" i="3"/>
  <c r="K41" i="3"/>
  <c r="P40" i="3"/>
  <c r="D14" i="4" s="1"/>
  <c r="N40" i="3"/>
  <c r="M40" i="3"/>
  <c r="K40" i="3"/>
  <c r="P39" i="3"/>
  <c r="D13" i="4" s="1"/>
  <c r="L13" i="4" s="1"/>
  <c r="N39" i="3"/>
  <c r="M39" i="3"/>
  <c r="K39" i="3"/>
  <c r="P38" i="3"/>
  <c r="D12" i="4" s="1"/>
  <c r="N38" i="3"/>
  <c r="K38" i="3"/>
  <c r="M38" i="3" s="1"/>
  <c r="P37" i="3"/>
  <c r="D11" i="4" s="1"/>
  <c r="N37" i="3"/>
  <c r="K37" i="3"/>
  <c r="M37" i="3" s="1"/>
  <c r="P36" i="3"/>
  <c r="N36" i="3"/>
  <c r="M36" i="3"/>
  <c r="K36" i="3"/>
  <c r="P35" i="3"/>
  <c r="D9" i="4" s="1"/>
  <c r="N35" i="3"/>
  <c r="M35" i="3"/>
  <c r="K35" i="3"/>
  <c r="P34" i="3"/>
  <c r="D8" i="4" s="1"/>
  <c r="L8" i="4" s="1"/>
  <c r="N34" i="3"/>
  <c r="K34" i="3"/>
  <c r="M34" i="3" s="1"/>
  <c r="P33" i="3"/>
  <c r="D7" i="4" s="1"/>
  <c r="N33" i="3"/>
  <c r="M33" i="3"/>
  <c r="K33" i="3"/>
  <c r="P32" i="3"/>
  <c r="N32" i="3"/>
  <c r="M32" i="3"/>
  <c r="K32" i="3"/>
  <c r="C26" i="3"/>
  <c r="C25" i="3"/>
  <c r="L364" i="3" s="1"/>
  <c r="C24" i="3"/>
  <c r="L320" i="3" s="1"/>
  <c r="C23" i="3"/>
  <c r="L289" i="3" s="1"/>
  <c r="P289" i="3" s="1"/>
  <c r="D263" i="4" s="1"/>
  <c r="C22" i="3"/>
  <c r="L268" i="3" s="1"/>
  <c r="C21" i="3"/>
  <c r="L236" i="3" s="1"/>
  <c r="C20" i="3"/>
  <c r="C19" i="3"/>
  <c r="L156" i="3" s="1"/>
  <c r="C18" i="3"/>
  <c r="L148" i="3" s="1"/>
  <c r="C17" i="3"/>
  <c r="L116" i="3" s="1"/>
  <c r="C16" i="3"/>
  <c r="L89" i="3" s="1"/>
  <c r="C15" i="3"/>
  <c r="L62" i="3" s="1"/>
  <c r="O10" i="3"/>
  <c r="O9" i="3"/>
  <c r="O8" i="3"/>
  <c r="O7" i="3"/>
  <c r="O6" i="3"/>
  <c r="O5" i="3"/>
  <c r="C16" i="2"/>
  <c r="H9" i="2"/>
  <c r="G196" i="4" s="1"/>
  <c r="E12" i="1"/>
  <c r="G5" i="1"/>
  <c r="E5" i="1"/>
  <c r="E80" i="4" l="1"/>
  <c r="L80" i="4"/>
  <c r="L87" i="4"/>
  <c r="E87" i="4"/>
  <c r="L91" i="4"/>
  <c r="E91" i="4"/>
  <c r="L95" i="4"/>
  <c r="E95" i="4"/>
  <c r="L123" i="4"/>
  <c r="E123" i="4"/>
  <c r="L135" i="4"/>
  <c r="E135" i="4"/>
  <c r="L143" i="4"/>
  <c r="E143" i="4"/>
  <c r="L151" i="4"/>
  <c r="E151" i="4"/>
  <c r="L163" i="4"/>
  <c r="E163" i="4"/>
  <c r="L216" i="4"/>
  <c r="E216" i="4"/>
  <c r="L263" i="4"/>
  <c r="E263" i="4"/>
  <c r="L115" i="4"/>
  <c r="E115" i="4"/>
  <c r="L119" i="4"/>
  <c r="E119" i="4"/>
  <c r="L159" i="4"/>
  <c r="E159" i="4"/>
  <c r="L195" i="4"/>
  <c r="E195" i="4"/>
  <c r="L107" i="4"/>
  <c r="E107" i="4"/>
  <c r="L111" i="4"/>
  <c r="E111" i="4"/>
  <c r="L131" i="4"/>
  <c r="E131" i="4"/>
  <c r="L139" i="4"/>
  <c r="E139" i="4"/>
  <c r="L147" i="4"/>
  <c r="E147" i="4"/>
  <c r="L155" i="4"/>
  <c r="E155" i="4"/>
  <c r="L74" i="4"/>
  <c r="E74" i="4"/>
  <c r="E85" i="4"/>
  <c r="L85" i="4"/>
  <c r="L99" i="4"/>
  <c r="E99" i="4"/>
  <c r="L103" i="4"/>
  <c r="E103" i="4"/>
  <c r="L127" i="4"/>
  <c r="E127" i="4"/>
  <c r="L167" i="4"/>
  <c r="E167" i="4"/>
  <c r="L199" i="4"/>
  <c r="E199" i="4"/>
  <c r="C27" i="3"/>
  <c r="L36" i="3"/>
  <c r="L11" i="4"/>
  <c r="E11" i="4"/>
  <c r="L12" i="4"/>
  <c r="E12" i="4"/>
  <c r="L42" i="3"/>
  <c r="L44" i="3"/>
  <c r="L19" i="4"/>
  <c r="E19" i="4"/>
  <c r="L27" i="4"/>
  <c r="E27" i="4"/>
  <c r="L28" i="4"/>
  <c r="E28" i="4"/>
  <c r="L35" i="4"/>
  <c r="E35" i="4"/>
  <c r="L36" i="4"/>
  <c r="E36" i="4"/>
  <c r="E79" i="4"/>
  <c r="L79" i="4"/>
  <c r="E96" i="4"/>
  <c r="L96" i="4"/>
  <c r="E120" i="4"/>
  <c r="L120" i="4"/>
  <c r="L152" i="3"/>
  <c r="E128" i="4"/>
  <c r="L128" i="4"/>
  <c r="L158" i="3"/>
  <c r="L160" i="3"/>
  <c r="M162" i="3"/>
  <c r="L162" i="3"/>
  <c r="L164" i="3"/>
  <c r="L168" i="3"/>
  <c r="L176" i="3"/>
  <c r="L392" i="3"/>
  <c r="L384" i="3"/>
  <c r="L376" i="3"/>
  <c r="L368" i="3"/>
  <c r="L33" i="3"/>
  <c r="L35" i="3"/>
  <c r="L41" i="3"/>
  <c r="L43" i="3"/>
  <c r="L49" i="3"/>
  <c r="L51" i="3"/>
  <c r="L57" i="3"/>
  <c r="L59" i="3"/>
  <c r="L51" i="4"/>
  <c r="E51" i="4"/>
  <c r="L52" i="4"/>
  <c r="E52" i="4"/>
  <c r="L59" i="4"/>
  <c r="E59" i="4"/>
  <c r="L60" i="4"/>
  <c r="E60" i="4"/>
  <c r="L67" i="4"/>
  <c r="E67" i="4"/>
  <c r="L68" i="4"/>
  <c r="E68" i="4"/>
  <c r="L125" i="3"/>
  <c r="L127" i="3"/>
  <c r="L133" i="3"/>
  <c r="L135" i="3"/>
  <c r="L141" i="3"/>
  <c r="L143" i="3"/>
  <c r="L149" i="3"/>
  <c r="L151" i="3"/>
  <c r="L157" i="3"/>
  <c r="L159" i="3"/>
  <c r="L163" i="3"/>
  <c r="L167" i="3"/>
  <c r="L171" i="3"/>
  <c r="L175" i="3"/>
  <c r="L179" i="3"/>
  <c r="M194" i="3"/>
  <c r="L194" i="3"/>
  <c r="M198" i="3"/>
  <c r="L198" i="3"/>
  <c r="M202" i="3"/>
  <c r="P202" i="3" s="1"/>
  <c r="D176" i="4" s="1"/>
  <c r="L202" i="3"/>
  <c r="M206" i="3"/>
  <c r="L206" i="3"/>
  <c r="M210" i="3"/>
  <c r="L210" i="3"/>
  <c r="M214" i="3"/>
  <c r="L214" i="3"/>
  <c r="E220" i="4"/>
  <c r="L220" i="4"/>
  <c r="L223" i="4"/>
  <c r="E223" i="4"/>
  <c r="L251" i="3"/>
  <c r="L255" i="3"/>
  <c r="L231" i="4"/>
  <c r="E231" i="4"/>
  <c r="L259" i="3"/>
  <c r="L260" i="3"/>
  <c r="M262" i="3"/>
  <c r="L262" i="3"/>
  <c r="L264" i="3"/>
  <c r="L265" i="3"/>
  <c r="L241" i="4"/>
  <c r="E241" i="4"/>
  <c r="L247" i="4"/>
  <c r="E247" i="4"/>
  <c r="L275" i="3"/>
  <c r="M275" i="3"/>
  <c r="L278" i="3"/>
  <c r="L280" i="3"/>
  <c r="M282" i="3"/>
  <c r="P282" i="3" s="1"/>
  <c r="D256" i="4" s="1"/>
  <c r="L282" i="3"/>
  <c r="L265" i="4"/>
  <c r="E265" i="4"/>
  <c r="E276" i="4"/>
  <c r="L276" i="4"/>
  <c r="L283" i="4"/>
  <c r="E283" i="4"/>
  <c r="L315" i="3"/>
  <c r="M315" i="3"/>
  <c r="M325" i="3"/>
  <c r="L325" i="3"/>
  <c r="L301" i="4"/>
  <c r="E301" i="4"/>
  <c r="L307" i="4"/>
  <c r="E307" i="4"/>
  <c r="M341" i="3"/>
  <c r="L341" i="3"/>
  <c r="L317" i="4"/>
  <c r="E317" i="4"/>
  <c r="L323" i="4"/>
  <c r="E323" i="4"/>
  <c r="M357" i="3"/>
  <c r="L357" i="3"/>
  <c r="E333" i="4"/>
  <c r="L333" i="4"/>
  <c r="E339" i="4"/>
  <c r="L339" i="4"/>
  <c r="L370" i="3"/>
  <c r="L372" i="3"/>
  <c r="M373" i="3"/>
  <c r="L373" i="3"/>
  <c r="E349" i="4"/>
  <c r="L349" i="4"/>
  <c r="L386" i="3"/>
  <c r="L388" i="3"/>
  <c r="M389" i="3"/>
  <c r="L389" i="3"/>
  <c r="E365" i="4"/>
  <c r="L365" i="4"/>
  <c r="E13" i="4"/>
  <c r="G14" i="4"/>
  <c r="L26" i="4"/>
  <c r="E26" i="4"/>
  <c r="G33" i="4"/>
  <c r="E45" i="4"/>
  <c r="G46" i="4"/>
  <c r="L54" i="4"/>
  <c r="L58" i="4"/>
  <c r="E58" i="4"/>
  <c r="G65" i="4"/>
  <c r="L212" i="4"/>
  <c r="D27" i="8"/>
  <c r="E27" i="8" s="1"/>
  <c r="C38" i="8" s="1"/>
  <c r="D13" i="8"/>
  <c r="E13" i="8" s="1"/>
  <c r="C41" i="7"/>
  <c r="C48" i="7"/>
  <c r="C40" i="7"/>
  <c r="E40" i="7"/>
  <c r="G370" i="4"/>
  <c r="G368" i="4"/>
  <c r="G366" i="4"/>
  <c r="G364" i="4"/>
  <c r="G362" i="4"/>
  <c r="G360" i="4"/>
  <c r="G358" i="4"/>
  <c r="G356" i="4"/>
  <c r="G354" i="4"/>
  <c r="G352" i="4"/>
  <c r="G350" i="4"/>
  <c r="G348" i="4"/>
  <c r="G346" i="4"/>
  <c r="D17" i="8"/>
  <c r="E17" i="8" s="1"/>
  <c r="C36" i="8" s="1"/>
  <c r="C46" i="7"/>
  <c r="D19" i="8"/>
  <c r="E19" i="8" s="1"/>
  <c r="C38" i="7"/>
  <c r="E38" i="7" s="1"/>
  <c r="G369" i="4"/>
  <c r="G365" i="4"/>
  <c r="G361" i="4"/>
  <c r="G357" i="4"/>
  <c r="G353" i="4"/>
  <c r="G349" i="4"/>
  <c r="G345" i="4"/>
  <c r="G343" i="4"/>
  <c r="G359" i="4"/>
  <c r="G351" i="4"/>
  <c r="G340" i="4"/>
  <c r="G338" i="4"/>
  <c r="G336" i="4"/>
  <c r="G334" i="4"/>
  <c r="G332" i="4"/>
  <c r="G342" i="4"/>
  <c r="G367" i="4"/>
  <c r="G363" i="4"/>
  <c r="G355" i="4"/>
  <c r="G347" i="4"/>
  <c r="G341" i="4"/>
  <c r="G339" i="4"/>
  <c r="G337" i="4"/>
  <c r="G335" i="4"/>
  <c r="G333" i="4"/>
  <c r="G344" i="4"/>
  <c r="G331" i="4"/>
  <c r="G328" i="4"/>
  <c r="G327" i="4"/>
  <c r="G326" i="4"/>
  <c r="G322" i="4"/>
  <c r="G317" i="4"/>
  <c r="G314" i="4"/>
  <c r="G309" i="4"/>
  <c r="G306" i="4"/>
  <c r="G301" i="4"/>
  <c r="G298" i="4"/>
  <c r="G293" i="4"/>
  <c r="G290" i="4"/>
  <c r="G287" i="4"/>
  <c r="G285" i="4"/>
  <c r="G283" i="4"/>
  <c r="G281" i="4"/>
  <c r="G279" i="4"/>
  <c r="G277" i="4"/>
  <c r="G275" i="4"/>
  <c r="G330" i="4"/>
  <c r="G323" i="4"/>
  <c r="G320" i="4"/>
  <c r="G315" i="4"/>
  <c r="G312" i="4"/>
  <c r="G307" i="4"/>
  <c r="G304" i="4"/>
  <c r="G299" i="4"/>
  <c r="G296" i="4"/>
  <c r="G291" i="4"/>
  <c r="G325" i="4"/>
  <c r="G318" i="4"/>
  <c r="G316" i="4"/>
  <c r="G313" i="4"/>
  <c r="G302" i="4"/>
  <c r="G300" i="4"/>
  <c r="G297" i="4"/>
  <c r="G286" i="4"/>
  <c r="G278" i="4"/>
  <c r="G272" i="4"/>
  <c r="G292" i="4"/>
  <c r="G289" i="4"/>
  <c r="G282" i="4"/>
  <c r="G276" i="4"/>
  <c r="G269" i="4"/>
  <c r="G266" i="4"/>
  <c r="G261" i="4"/>
  <c r="G258" i="4"/>
  <c r="G253" i="4"/>
  <c r="G250" i="4"/>
  <c r="G245" i="4"/>
  <c r="G242" i="4"/>
  <c r="G237" i="4"/>
  <c r="G234" i="4"/>
  <c r="G229" i="4"/>
  <c r="G226" i="4"/>
  <c r="G221" i="4"/>
  <c r="G218" i="4"/>
  <c r="G213" i="4"/>
  <c r="G210" i="4"/>
  <c r="G205" i="4"/>
  <c r="G202" i="4"/>
  <c r="G197" i="4"/>
  <c r="G195" i="4"/>
  <c r="G193" i="4"/>
  <c r="G191" i="4"/>
  <c r="G189" i="4"/>
  <c r="G187" i="4"/>
  <c r="G185" i="4"/>
  <c r="G183" i="4"/>
  <c r="G181" i="4"/>
  <c r="G179" i="4"/>
  <c r="G177" i="4"/>
  <c r="G175" i="4"/>
  <c r="G173" i="4"/>
  <c r="G171" i="4"/>
  <c r="G169" i="4"/>
  <c r="G167" i="4"/>
  <c r="G165" i="4"/>
  <c r="G163" i="4"/>
  <c r="G161" i="4"/>
  <c r="G159" i="4"/>
  <c r="G157" i="4"/>
  <c r="G155" i="4"/>
  <c r="G153" i="4"/>
  <c r="G151" i="4"/>
  <c r="G149" i="4"/>
  <c r="G147" i="4"/>
  <c r="G145" i="4"/>
  <c r="G143" i="4"/>
  <c r="G141" i="4"/>
  <c r="G139" i="4"/>
  <c r="G137" i="4"/>
  <c r="G135" i="4"/>
  <c r="G133" i="4"/>
  <c r="G131" i="4"/>
  <c r="G129" i="4"/>
  <c r="G127" i="4"/>
  <c r="G125" i="4"/>
  <c r="G123" i="4"/>
  <c r="G121" i="4"/>
  <c r="G119" i="4"/>
  <c r="G117" i="4"/>
  <c r="G115" i="4"/>
  <c r="G113" i="4"/>
  <c r="G111" i="4"/>
  <c r="G109" i="4"/>
  <c r="G107" i="4"/>
  <c r="G105" i="4"/>
  <c r="G103" i="4"/>
  <c r="G101" i="4"/>
  <c r="G99" i="4"/>
  <c r="G97" i="4"/>
  <c r="G95" i="4"/>
  <c r="G93" i="4"/>
  <c r="G91" i="4"/>
  <c r="G89" i="4"/>
  <c r="G87" i="4"/>
  <c r="G319" i="4"/>
  <c r="G311" i="4"/>
  <c r="G310" i="4"/>
  <c r="G284" i="4"/>
  <c r="G280" i="4"/>
  <c r="G267" i="4"/>
  <c r="G264" i="4"/>
  <c r="G259" i="4"/>
  <c r="G256" i="4"/>
  <c r="G251" i="4"/>
  <c r="G248" i="4"/>
  <c r="G243" i="4"/>
  <c r="G240" i="4"/>
  <c r="G235" i="4"/>
  <c r="G232" i="4"/>
  <c r="G227" i="4"/>
  <c r="G224" i="4"/>
  <c r="G219" i="4"/>
  <c r="G216" i="4"/>
  <c r="G211" i="4"/>
  <c r="G208" i="4"/>
  <c r="G203" i="4"/>
  <c r="G200" i="4"/>
  <c r="G329" i="4"/>
  <c r="G324" i="4"/>
  <c r="G321" i="4"/>
  <c r="G303" i="4"/>
  <c r="G295" i="4"/>
  <c r="G294" i="4"/>
  <c r="G288" i="4"/>
  <c r="G273" i="4"/>
  <c r="G270" i="4"/>
  <c r="G265" i="4"/>
  <c r="G262" i="4"/>
  <c r="G257" i="4"/>
  <c r="G254" i="4"/>
  <c r="G249" i="4"/>
  <c r="G246" i="4"/>
  <c r="G241" i="4"/>
  <c r="G238" i="4"/>
  <c r="G233" i="4"/>
  <c r="G230" i="4"/>
  <c r="G225" i="4"/>
  <c r="G222" i="4"/>
  <c r="G305" i="4"/>
  <c r="G274" i="4"/>
  <c r="G263" i="4"/>
  <c r="G244" i="4"/>
  <c r="G231" i="4"/>
  <c r="G214" i="4"/>
  <c r="G212" i="4"/>
  <c r="G209" i="4"/>
  <c r="G198" i="4"/>
  <c r="G190" i="4"/>
  <c r="G182" i="4"/>
  <c r="G174" i="4"/>
  <c r="G86" i="4"/>
  <c r="G84" i="4"/>
  <c r="G82" i="4"/>
  <c r="G80" i="4"/>
  <c r="G78" i="4"/>
  <c r="G271" i="4"/>
  <c r="G252" i="4"/>
  <c r="G239" i="4"/>
  <c r="G220" i="4"/>
  <c r="G207" i="4"/>
  <c r="G192" i="4"/>
  <c r="G184" i="4"/>
  <c r="G176" i="4"/>
  <c r="G168" i="4"/>
  <c r="G164" i="4"/>
  <c r="G160" i="4"/>
  <c r="G156" i="4"/>
  <c r="G152" i="4"/>
  <c r="G148" i="4"/>
  <c r="G144" i="4"/>
  <c r="G140" i="4"/>
  <c r="G136" i="4"/>
  <c r="G132" i="4"/>
  <c r="G128" i="4"/>
  <c r="G124" i="4"/>
  <c r="G120" i="4"/>
  <c r="G116" i="4"/>
  <c r="G112" i="4"/>
  <c r="G108" i="4"/>
  <c r="G104" i="4"/>
  <c r="G100" i="4"/>
  <c r="G96" i="4"/>
  <c r="G92" i="4"/>
  <c r="G88" i="4"/>
  <c r="G260" i="4"/>
  <c r="G236" i="4"/>
  <c r="G206" i="4"/>
  <c r="G201" i="4"/>
  <c r="G199" i="4"/>
  <c r="G194" i="4"/>
  <c r="G178" i="4"/>
  <c r="G166" i="4"/>
  <c r="G162" i="4"/>
  <c r="G158" i="4"/>
  <c r="G154" i="4"/>
  <c r="G150" i="4"/>
  <c r="G146" i="4"/>
  <c r="G142" i="4"/>
  <c r="G138" i="4"/>
  <c r="G134" i="4"/>
  <c r="G130" i="4"/>
  <c r="G126" i="4"/>
  <c r="G122" i="4"/>
  <c r="G118" i="4"/>
  <c r="G114" i="4"/>
  <c r="G110" i="4"/>
  <c r="G106" i="4"/>
  <c r="G102" i="4"/>
  <c r="G98" i="4"/>
  <c r="G94" i="4"/>
  <c r="G90" i="4"/>
  <c r="G85" i="4"/>
  <c r="G76" i="4"/>
  <c r="G71" i="4"/>
  <c r="G68" i="4"/>
  <c r="G63" i="4"/>
  <c r="G60" i="4"/>
  <c r="G55" i="4"/>
  <c r="G52" i="4"/>
  <c r="G47" i="4"/>
  <c r="G44" i="4"/>
  <c r="G39" i="4"/>
  <c r="G36" i="4"/>
  <c r="G31" i="4"/>
  <c r="G28" i="4"/>
  <c r="G23" i="4"/>
  <c r="G20" i="4"/>
  <c r="G15" i="4"/>
  <c r="G12" i="4"/>
  <c r="G7" i="4"/>
  <c r="G247" i="4"/>
  <c r="G223" i="4"/>
  <c r="G188" i="4"/>
  <c r="G172" i="4"/>
  <c r="G79" i="4"/>
  <c r="G77" i="4"/>
  <c r="G74" i="4"/>
  <c r="G69" i="4"/>
  <c r="G66" i="4"/>
  <c r="G61" i="4"/>
  <c r="G58" i="4"/>
  <c r="G53" i="4"/>
  <c r="G50" i="4"/>
  <c r="G45" i="4"/>
  <c r="G42" i="4"/>
  <c r="G37" i="4"/>
  <c r="G34" i="4"/>
  <c r="G29" i="4"/>
  <c r="G26" i="4"/>
  <c r="G21" i="4"/>
  <c r="G18" i="4"/>
  <c r="G13" i="4"/>
  <c r="G10" i="4"/>
  <c r="G268" i="4"/>
  <c r="G228" i="4"/>
  <c r="G217" i="4"/>
  <c r="G215" i="4"/>
  <c r="G186" i="4"/>
  <c r="G170" i="4"/>
  <c r="G81" i="4"/>
  <c r="G75" i="4"/>
  <c r="G72" i="4"/>
  <c r="G67" i="4"/>
  <c r="G64" i="4"/>
  <c r="G59" i="4"/>
  <c r="G56" i="4"/>
  <c r="G51" i="4"/>
  <c r="G48" i="4"/>
  <c r="G43" i="4"/>
  <c r="G40" i="4"/>
  <c r="G35" i="4"/>
  <c r="G32" i="4"/>
  <c r="G27" i="4"/>
  <c r="G24" i="4"/>
  <c r="G19" i="4"/>
  <c r="G16" i="4"/>
  <c r="G11" i="4"/>
  <c r="G8" i="4"/>
  <c r="L304" i="3"/>
  <c r="L292" i="3"/>
  <c r="L284" i="3"/>
  <c r="L276" i="3"/>
  <c r="L34" i="3"/>
  <c r="L20" i="4"/>
  <c r="E20" i="4"/>
  <c r="L50" i="3"/>
  <c r="L52" i="3"/>
  <c r="L58" i="3"/>
  <c r="L60" i="3"/>
  <c r="L43" i="4"/>
  <c r="E43" i="4"/>
  <c r="L44" i="4"/>
  <c r="E44" i="4"/>
  <c r="E81" i="4"/>
  <c r="L81" i="4"/>
  <c r="E88" i="4"/>
  <c r="L88" i="4"/>
  <c r="E104" i="4"/>
  <c r="L104" i="4"/>
  <c r="E112" i="4"/>
  <c r="L112" i="4"/>
  <c r="M166" i="3"/>
  <c r="L166" i="3"/>
  <c r="M170" i="3"/>
  <c r="L170" i="3"/>
  <c r="L172" i="3"/>
  <c r="M174" i="3"/>
  <c r="L174" i="3"/>
  <c r="M178" i="3"/>
  <c r="L178" i="3"/>
  <c r="L180" i="3"/>
  <c r="M182" i="3"/>
  <c r="L182" i="3"/>
  <c r="M186" i="3"/>
  <c r="L186" i="3"/>
  <c r="M190" i="3"/>
  <c r="L190" i="3"/>
  <c r="E190" i="4"/>
  <c r="L190" i="4"/>
  <c r="E192" i="4"/>
  <c r="L192" i="4"/>
  <c r="L193" i="4"/>
  <c r="E193" i="4"/>
  <c r="E196" i="4"/>
  <c r="L196" i="4"/>
  <c r="L200" i="4"/>
  <c r="E200" i="4"/>
  <c r="L215" i="4"/>
  <c r="E215" i="4"/>
  <c r="L218" i="4"/>
  <c r="E218" i="4"/>
  <c r="L219" i="4"/>
  <c r="E219" i="4"/>
  <c r="L247" i="3"/>
  <c r="M250" i="3"/>
  <c r="L250" i="3"/>
  <c r="L252" i="3"/>
  <c r="M254" i="3"/>
  <c r="L254" i="3"/>
  <c r="L256" i="3"/>
  <c r="M258" i="3"/>
  <c r="L258" i="3"/>
  <c r="P259" i="3"/>
  <c r="D233" i="4" s="1"/>
  <c r="L261" i="3"/>
  <c r="P264" i="3"/>
  <c r="D238" i="4" s="1"/>
  <c r="L240" i="4"/>
  <c r="E240" i="4"/>
  <c r="L269" i="3"/>
  <c r="L270" i="3"/>
  <c r="L272" i="3"/>
  <c r="M274" i="3"/>
  <c r="L274" i="3"/>
  <c r="L281" i="3"/>
  <c r="L257" i="4"/>
  <c r="E257" i="4"/>
  <c r="L264" i="4"/>
  <c r="E264" i="4"/>
  <c r="L293" i="3"/>
  <c r="L275" i="4"/>
  <c r="E275" i="4"/>
  <c r="L294" i="4"/>
  <c r="E294" i="4"/>
  <c r="E300" i="4"/>
  <c r="L300" i="4"/>
  <c r="E316" i="4"/>
  <c r="L316" i="4"/>
  <c r="L332" i="4"/>
  <c r="E332" i="4"/>
  <c r="E348" i="4"/>
  <c r="L348" i="4"/>
  <c r="L377" i="3"/>
  <c r="E364" i="4"/>
  <c r="L364" i="4"/>
  <c r="L393" i="3"/>
  <c r="G6" i="4"/>
  <c r="L18" i="4"/>
  <c r="E18" i="4"/>
  <c r="G25" i="4"/>
  <c r="E37" i="4"/>
  <c r="G38" i="4"/>
  <c r="G57" i="4"/>
  <c r="E69" i="4"/>
  <c r="G70" i="4"/>
  <c r="G83" i="4"/>
  <c r="L248" i="4"/>
  <c r="E248" i="4"/>
  <c r="M48" i="7"/>
  <c r="N48" i="7" s="1"/>
  <c r="O48" i="7" s="1"/>
  <c r="P48" i="7" s="1"/>
  <c r="Q48" i="7" s="1"/>
  <c r="R48" i="7" s="1"/>
  <c r="S48" i="7" s="1"/>
  <c r="T48" i="7" s="1"/>
  <c r="U48" i="7" s="1"/>
  <c r="V48" i="7" s="1"/>
  <c r="W48" i="7" s="1"/>
  <c r="X48" i="7" s="1"/>
  <c r="J28" i="8"/>
  <c r="K28" i="8" s="1"/>
  <c r="L28" i="8" s="1"/>
  <c r="M28" i="8" s="1"/>
  <c r="N28" i="8" s="1"/>
  <c r="O28" i="8" s="1"/>
  <c r="P28" i="8" s="1"/>
  <c r="Q28" i="8" s="1"/>
  <c r="R28" i="8" s="1"/>
  <c r="S28" i="8" s="1"/>
  <c r="T28" i="8" s="1"/>
  <c r="U28" i="8" s="1"/>
  <c r="J23" i="8"/>
  <c r="K23" i="8" s="1"/>
  <c r="L23" i="8" s="1"/>
  <c r="M23" i="8" s="1"/>
  <c r="N23" i="8" s="1"/>
  <c r="O23" i="8" s="1"/>
  <c r="P23" i="8" s="1"/>
  <c r="Q23" i="8" s="1"/>
  <c r="R23" i="8" s="1"/>
  <c r="S23" i="8" s="1"/>
  <c r="T23" i="8" s="1"/>
  <c r="U23" i="8" s="1"/>
  <c r="J14" i="8"/>
  <c r="K14" i="8" s="1"/>
  <c r="L14" i="8" s="1"/>
  <c r="M14" i="8" s="1"/>
  <c r="N14" i="8" s="1"/>
  <c r="O14" i="8" s="1"/>
  <c r="P14" i="8" s="1"/>
  <c r="Q14" i="8" s="1"/>
  <c r="R14" i="8" s="1"/>
  <c r="S14" i="8" s="1"/>
  <c r="T14" i="8" s="1"/>
  <c r="U14" i="8" s="1"/>
  <c r="J9" i="8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M44" i="7"/>
  <c r="N44" i="7" s="1"/>
  <c r="O44" i="7" s="1"/>
  <c r="P44" i="7" s="1"/>
  <c r="Q44" i="7" s="1"/>
  <c r="R44" i="7" s="1"/>
  <c r="S44" i="7" s="1"/>
  <c r="T44" i="7" s="1"/>
  <c r="U44" i="7" s="1"/>
  <c r="V44" i="7" s="1"/>
  <c r="W44" i="7" s="1"/>
  <c r="X44" i="7" s="1"/>
  <c r="M40" i="7"/>
  <c r="N40" i="7" s="1"/>
  <c r="O40" i="7" s="1"/>
  <c r="P40" i="7" s="1"/>
  <c r="Q40" i="7" s="1"/>
  <c r="R40" i="7" s="1"/>
  <c r="S40" i="7" s="1"/>
  <c r="T40" i="7" s="1"/>
  <c r="U40" i="7" s="1"/>
  <c r="V40" i="7" s="1"/>
  <c r="W40" i="7" s="1"/>
  <c r="X40" i="7" s="1"/>
  <c r="J24" i="8"/>
  <c r="K24" i="8" s="1"/>
  <c r="L24" i="8" s="1"/>
  <c r="M24" i="8" s="1"/>
  <c r="N24" i="8" s="1"/>
  <c r="O24" i="8" s="1"/>
  <c r="P24" i="8" s="1"/>
  <c r="Q24" i="8" s="1"/>
  <c r="R24" i="8" s="1"/>
  <c r="S24" i="8" s="1"/>
  <c r="T24" i="8" s="1"/>
  <c r="U24" i="8" s="1"/>
  <c r="J19" i="8"/>
  <c r="K19" i="8" s="1"/>
  <c r="L19" i="8" s="1"/>
  <c r="M19" i="8" s="1"/>
  <c r="N19" i="8" s="1"/>
  <c r="O19" i="8" s="1"/>
  <c r="P19" i="8" s="1"/>
  <c r="Q19" i="8" s="1"/>
  <c r="R19" i="8" s="1"/>
  <c r="S19" i="8" s="1"/>
  <c r="T19" i="8" s="1"/>
  <c r="U19" i="8" s="1"/>
  <c r="J12" i="8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U12" i="8" s="1"/>
  <c r="J7" i="8"/>
  <c r="K7" i="8" s="1"/>
  <c r="L7" i="8" s="1"/>
  <c r="M7" i="8" s="1"/>
  <c r="N7" i="8" s="1"/>
  <c r="O7" i="8" s="1"/>
  <c r="P7" i="8" s="1"/>
  <c r="Q7" i="8" s="1"/>
  <c r="R7" i="8" s="1"/>
  <c r="S7" i="8" s="1"/>
  <c r="T7" i="8" s="1"/>
  <c r="U7" i="8" s="1"/>
  <c r="M47" i="7"/>
  <c r="N47" i="7" s="1"/>
  <c r="O47" i="7" s="1"/>
  <c r="P47" i="7" s="1"/>
  <c r="Q47" i="7" s="1"/>
  <c r="R47" i="7" s="1"/>
  <c r="S47" i="7" s="1"/>
  <c r="T47" i="7" s="1"/>
  <c r="U47" i="7" s="1"/>
  <c r="V47" i="7" s="1"/>
  <c r="W47" i="7" s="1"/>
  <c r="X47" i="7" s="1"/>
  <c r="M43" i="7"/>
  <c r="N43" i="7" s="1"/>
  <c r="O43" i="7" s="1"/>
  <c r="P43" i="7" s="1"/>
  <c r="Q43" i="7" s="1"/>
  <c r="R43" i="7" s="1"/>
  <c r="S43" i="7" s="1"/>
  <c r="T43" i="7" s="1"/>
  <c r="U43" i="7" s="1"/>
  <c r="V43" i="7" s="1"/>
  <c r="W43" i="7" s="1"/>
  <c r="X43" i="7" s="1"/>
  <c r="M39" i="7"/>
  <c r="N39" i="7" s="1"/>
  <c r="O39" i="7" s="1"/>
  <c r="P39" i="7" s="1"/>
  <c r="Q39" i="7" s="1"/>
  <c r="R39" i="7" s="1"/>
  <c r="S39" i="7" s="1"/>
  <c r="T39" i="7" s="1"/>
  <c r="U39" i="7" s="1"/>
  <c r="V39" i="7" s="1"/>
  <c r="W39" i="7" s="1"/>
  <c r="X39" i="7" s="1"/>
  <c r="J18" i="8"/>
  <c r="K18" i="8" s="1"/>
  <c r="L18" i="8" s="1"/>
  <c r="M18" i="8" s="1"/>
  <c r="N18" i="8" s="1"/>
  <c r="O18" i="8" s="1"/>
  <c r="P18" i="8" s="1"/>
  <c r="Q18" i="8" s="1"/>
  <c r="R18" i="8" s="1"/>
  <c r="S18" i="8" s="1"/>
  <c r="T18" i="8" s="1"/>
  <c r="U18" i="8" s="1"/>
  <c r="J13" i="8"/>
  <c r="K13" i="8" s="1"/>
  <c r="L13" i="8" s="1"/>
  <c r="M13" i="8" s="1"/>
  <c r="N13" i="8" s="1"/>
  <c r="O13" i="8" s="1"/>
  <c r="P13" i="8" s="1"/>
  <c r="Q13" i="8" s="1"/>
  <c r="R13" i="8" s="1"/>
  <c r="S13" i="8" s="1"/>
  <c r="T13" i="8" s="1"/>
  <c r="U13" i="8" s="1"/>
  <c r="M45" i="7"/>
  <c r="N45" i="7" s="1"/>
  <c r="O45" i="7" s="1"/>
  <c r="P45" i="7" s="1"/>
  <c r="Q45" i="7" s="1"/>
  <c r="R45" i="7" s="1"/>
  <c r="S45" i="7" s="1"/>
  <c r="T45" i="7" s="1"/>
  <c r="U45" i="7" s="1"/>
  <c r="V45" i="7" s="1"/>
  <c r="W45" i="7" s="1"/>
  <c r="X45" i="7" s="1"/>
  <c r="M36" i="7"/>
  <c r="N36" i="7" s="1"/>
  <c r="O36" i="7" s="1"/>
  <c r="P36" i="7" s="1"/>
  <c r="Q36" i="7" s="1"/>
  <c r="R36" i="7" s="1"/>
  <c r="S36" i="7" s="1"/>
  <c r="T36" i="7" s="1"/>
  <c r="U36" i="7" s="1"/>
  <c r="V36" i="7" s="1"/>
  <c r="W36" i="7" s="1"/>
  <c r="X36" i="7" s="1"/>
  <c r="J22" i="8"/>
  <c r="K22" i="8" s="1"/>
  <c r="L22" i="8" s="1"/>
  <c r="M22" i="8" s="1"/>
  <c r="N22" i="8" s="1"/>
  <c r="O22" i="8" s="1"/>
  <c r="P22" i="8" s="1"/>
  <c r="Q22" i="8" s="1"/>
  <c r="R22" i="8" s="1"/>
  <c r="S22" i="8" s="1"/>
  <c r="T22" i="8" s="1"/>
  <c r="U22" i="8" s="1"/>
  <c r="J17" i="8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D46" i="7"/>
  <c r="M42" i="7"/>
  <c r="N42" i="7" s="1"/>
  <c r="O42" i="7" s="1"/>
  <c r="P42" i="7" s="1"/>
  <c r="Q42" i="7" s="1"/>
  <c r="R42" i="7" s="1"/>
  <c r="S42" i="7" s="1"/>
  <c r="T42" i="7" s="1"/>
  <c r="U42" i="7" s="1"/>
  <c r="V42" i="7" s="1"/>
  <c r="W42" i="7" s="1"/>
  <c r="X42" i="7" s="1"/>
  <c r="M35" i="7"/>
  <c r="N35" i="7" s="1"/>
  <c r="O35" i="7" s="1"/>
  <c r="P35" i="7" s="1"/>
  <c r="Q35" i="7" s="1"/>
  <c r="R35" i="7" s="1"/>
  <c r="S35" i="7" s="1"/>
  <c r="T35" i="7" s="1"/>
  <c r="U35" i="7" s="1"/>
  <c r="V35" i="7" s="1"/>
  <c r="W35" i="7" s="1"/>
  <c r="X35" i="7" s="1"/>
  <c r="J27" i="8"/>
  <c r="K27" i="8" s="1"/>
  <c r="L27" i="8" s="1"/>
  <c r="M27" i="8" s="1"/>
  <c r="N27" i="8" s="1"/>
  <c r="O27" i="8" s="1"/>
  <c r="P27" i="8" s="1"/>
  <c r="Q27" i="8" s="1"/>
  <c r="R27" i="8" s="1"/>
  <c r="S27" i="8" s="1"/>
  <c r="T27" i="8" s="1"/>
  <c r="U27" i="8" s="1"/>
  <c r="D45" i="7"/>
  <c r="M41" i="7"/>
  <c r="N41" i="7" s="1"/>
  <c r="O41" i="7" s="1"/>
  <c r="P41" i="7" s="1"/>
  <c r="Q41" i="7" s="1"/>
  <c r="R41" i="7" s="1"/>
  <c r="S41" i="7" s="1"/>
  <c r="T41" i="7" s="1"/>
  <c r="U41" i="7" s="1"/>
  <c r="V41" i="7" s="1"/>
  <c r="W41" i="7" s="1"/>
  <c r="X41" i="7" s="1"/>
  <c r="M38" i="7"/>
  <c r="N38" i="7" s="1"/>
  <c r="O38" i="7" s="1"/>
  <c r="P38" i="7" s="1"/>
  <c r="Q38" i="7" s="1"/>
  <c r="R38" i="7" s="1"/>
  <c r="S38" i="7" s="1"/>
  <c r="T38" i="7" s="1"/>
  <c r="U38" i="7" s="1"/>
  <c r="V38" i="7" s="1"/>
  <c r="W38" i="7" s="1"/>
  <c r="X38" i="7" s="1"/>
  <c r="M34" i="7"/>
  <c r="N34" i="7" s="1"/>
  <c r="O34" i="7" s="1"/>
  <c r="P34" i="7" s="1"/>
  <c r="Q34" i="7" s="1"/>
  <c r="R34" i="7" s="1"/>
  <c r="S34" i="7" s="1"/>
  <c r="T34" i="7" s="1"/>
  <c r="U34" i="7" s="1"/>
  <c r="V34" i="7" s="1"/>
  <c r="W34" i="7" s="1"/>
  <c r="X34" i="7" s="1"/>
  <c r="J29" i="8"/>
  <c r="K29" i="8" s="1"/>
  <c r="L29" i="8" s="1"/>
  <c r="M29" i="8" s="1"/>
  <c r="N29" i="8" s="1"/>
  <c r="O29" i="8" s="1"/>
  <c r="P29" i="8" s="1"/>
  <c r="Q29" i="8" s="1"/>
  <c r="R29" i="8" s="1"/>
  <c r="S29" i="8" s="1"/>
  <c r="T29" i="8" s="1"/>
  <c r="U29" i="8" s="1"/>
  <c r="J8" i="8"/>
  <c r="K8" i="8" s="1"/>
  <c r="L8" i="8" s="1"/>
  <c r="M8" i="8" s="1"/>
  <c r="N8" i="8" s="1"/>
  <c r="O8" i="8" s="1"/>
  <c r="P8" i="8" s="1"/>
  <c r="Q8" i="8" s="1"/>
  <c r="R8" i="8" s="1"/>
  <c r="S8" i="8" s="1"/>
  <c r="T8" i="8" s="1"/>
  <c r="U8" i="8" s="1"/>
  <c r="M46" i="7"/>
  <c r="N46" i="7" s="1"/>
  <c r="O46" i="7" s="1"/>
  <c r="P46" i="7" s="1"/>
  <c r="Q46" i="7" s="1"/>
  <c r="R46" i="7" s="1"/>
  <c r="S46" i="7" s="1"/>
  <c r="T46" i="7" s="1"/>
  <c r="U46" i="7" s="1"/>
  <c r="V46" i="7" s="1"/>
  <c r="W46" i="7" s="1"/>
  <c r="X46" i="7" s="1"/>
  <c r="D42" i="7"/>
  <c r="M37" i="7"/>
  <c r="N37" i="7" s="1"/>
  <c r="O37" i="7" s="1"/>
  <c r="P37" i="7" s="1"/>
  <c r="Q37" i="7" s="1"/>
  <c r="R37" i="7" s="1"/>
  <c r="S37" i="7" s="1"/>
  <c r="T37" i="7" s="1"/>
  <c r="U37" i="7" s="1"/>
  <c r="V37" i="7" s="1"/>
  <c r="W37" i="7" s="1"/>
  <c r="X37" i="7" s="1"/>
  <c r="D37" i="7"/>
  <c r="E272" i="4"/>
  <c r="E254" i="4"/>
  <c r="L37" i="3"/>
  <c r="L39" i="3"/>
  <c r="E14" i="4"/>
  <c r="L45" i="3"/>
  <c r="L47" i="3"/>
  <c r="P47" i="3" s="1"/>
  <c r="D21" i="4" s="1"/>
  <c r="E22" i="4"/>
  <c r="L53" i="3"/>
  <c r="L55" i="3"/>
  <c r="E30" i="4"/>
  <c r="L61" i="3"/>
  <c r="L63" i="3"/>
  <c r="E38" i="4"/>
  <c r="L69" i="3"/>
  <c r="L71" i="3"/>
  <c r="E46" i="4"/>
  <c r="P76" i="3"/>
  <c r="D50" i="4" s="1"/>
  <c r="L78" i="3"/>
  <c r="M79" i="3"/>
  <c r="L80" i="3"/>
  <c r="L55" i="4"/>
  <c r="E55" i="4"/>
  <c r="L57" i="4"/>
  <c r="E57" i="4"/>
  <c r="L86" i="3"/>
  <c r="M87" i="3"/>
  <c r="L88" i="3"/>
  <c r="L63" i="4"/>
  <c r="E63" i="4"/>
  <c r="L65" i="4"/>
  <c r="E65" i="4"/>
  <c r="L94" i="3"/>
  <c r="M95" i="3"/>
  <c r="L96" i="3"/>
  <c r="L71" i="4"/>
  <c r="E71" i="4"/>
  <c r="L73" i="4"/>
  <c r="E73" i="4"/>
  <c r="L105" i="3"/>
  <c r="L107" i="3"/>
  <c r="L113" i="3"/>
  <c r="L115" i="3"/>
  <c r="L121" i="3"/>
  <c r="L123" i="3"/>
  <c r="L129" i="3"/>
  <c r="L131" i="3"/>
  <c r="L137" i="3"/>
  <c r="L139" i="3"/>
  <c r="L145" i="3"/>
  <c r="L147" i="3"/>
  <c r="L153" i="3"/>
  <c r="L155" i="3"/>
  <c r="L161" i="3"/>
  <c r="L165" i="3"/>
  <c r="L169" i="3"/>
  <c r="L173" i="3"/>
  <c r="L177" i="3"/>
  <c r="L181" i="3"/>
  <c r="L185" i="3"/>
  <c r="L189" i="3"/>
  <c r="P192" i="3"/>
  <c r="D166" i="4" s="1"/>
  <c r="E168" i="4"/>
  <c r="L168" i="4"/>
  <c r="E172" i="4"/>
  <c r="L172" i="4"/>
  <c r="L177" i="4"/>
  <c r="E177" i="4"/>
  <c r="E180" i="4"/>
  <c r="L180" i="4"/>
  <c r="E184" i="4"/>
  <c r="L184" i="4"/>
  <c r="E188" i="4"/>
  <c r="L188" i="4"/>
  <c r="E191" i="4"/>
  <c r="L191" i="4"/>
  <c r="L219" i="3"/>
  <c r="L223" i="3"/>
  <c r="L227" i="3"/>
  <c r="L203" i="4"/>
  <c r="E203" i="4"/>
  <c r="L231" i="3"/>
  <c r="L207" i="4"/>
  <c r="E207" i="4"/>
  <c r="L235" i="3"/>
  <c r="L211" i="4"/>
  <c r="E211" i="4"/>
  <c r="L239" i="3"/>
  <c r="L240" i="3"/>
  <c r="M242" i="3"/>
  <c r="L242" i="3"/>
  <c r="L244" i="3"/>
  <c r="M246" i="3"/>
  <c r="L246" i="3"/>
  <c r="L248" i="3"/>
  <c r="L249" i="3"/>
  <c r="L253" i="3"/>
  <c r="P253" i="3" s="1"/>
  <c r="D227" i="4" s="1"/>
  <c r="L257" i="3"/>
  <c r="E236" i="4"/>
  <c r="L239" i="4"/>
  <c r="E239" i="4"/>
  <c r="L267" i="3"/>
  <c r="M267" i="3"/>
  <c r="P269" i="3"/>
  <c r="D243" i="4" s="1"/>
  <c r="L273" i="3"/>
  <c r="L249" i="4"/>
  <c r="E249" i="4"/>
  <c r="L285" i="3"/>
  <c r="L291" i="3"/>
  <c r="M291" i="3"/>
  <c r="L294" i="3"/>
  <c r="L296" i="3"/>
  <c r="L297" i="3"/>
  <c r="L299" i="3"/>
  <c r="L306" i="3"/>
  <c r="M307" i="3"/>
  <c r="M309" i="3"/>
  <c r="L309" i="3"/>
  <c r="E285" i="4"/>
  <c r="L285" i="4"/>
  <c r="L299" i="4"/>
  <c r="E299" i="4"/>
  <c r="M333" i="3"/>
  <c r="L333" i="3"/>
  <c r="L309" i="4"/>
  <c r="E309" i="4"/>
  <c r="L315" i="4"/>
  <c r="E315" i="4"/>
  <c r="L346" i="3"/>
  <c r="L348" i="3"/>
  <c r="M349" i="3"/>
  <c r="L349" i="3"/>
  <c r="L325" i="4"/>
  <c r="E325" i="4"/>
  <c r="L331" i="4"/>
  <c r="E331" i="4"/>
  <c r="L362" i="3"/>
  <c r="M365" i="3"/>
  <c r="L365" i="3"/>
  <c r="E341" i="4"/>
  <c r="L341" i="4"/>
  <c r="E347" i="4"/>
  <c r="L347" i="4"/>
  <c r="L378" i="3"/>
  <c r="L380" i="3"/>
  <c r="M381" i="3"/>
  <c r="P381" i="3" s="1"/>
  <c r="D355" i="4" s="1"/>
  <c r="L381" i="3"/>
  <c r="E357" i="4"/>
  <c r="L357" i="4"/>
  <c r="E363" i="4"/>
  <c r="L363" i="4"/>
  <c r="L394" i="3"/>
  <c r="L396" i="3"/>
  <c r="E8" i="5"/>
  <c r="L10" i="4"/>
  <c r="E10" i="4"/>
  <c r="E16" i="4"/>
  <c r="G17" i="4"/>
  <c r="E29" i="4"/>
  <c r="G30" i="4"/>
  <c r="L38" i="4"/>
  <c r="L42" i="4"/>
  <c r="E42" i="4"/>
  <c r="E48" i="4"/>
  <c r="G49" i="4"/>
  <c r="E61" i="4"/>
  <c r="G62" i="4"/>
  <c r="L70" i="4"/>
  <c r="E82" i="4"/>
  <c r="E246" i="4"/>
  <c r="G308" i="4"/>
  <c r="L89" i="4"/>
  <c r="L97" i="4"/>
  <c r="L105" i="4"/>
  <c r="L113" i="4"/>
  <c r="L121" i="4"/>
  <c r="L129" i="4"/>
  <c r="L360" i="3"/>
  <c r="L352" i="3"/>
  <c r="L344" i="3"/>
  <c r="L336" i="3"/>
  <c r="L32" i="3"/>
  <c r="L7" i="4"/>
  <c r="E7" i="4"/>
  <c r="L9" i="4"/>
  <c r="E9" i="4"/>
  <c r="L38" i="3"/>
  <c r="L40" i="3"/>
  <c r="L15" i="4"/>
  <c r="E15" i="4"/>
  <c r="L17" i="4"/>
  <c r="E17" i="4"/>
  <c r="L46" i="3"/>
  <c r="L48" i="3"/>
  <c r="L23" i="4"/>
  <c r="E23" i="4"/>
  <c r="L25" i="4"/>
  <c r="E25" i="4"/>
  <c r="L54" i="3"/>
  <c r="L56" i="3"/>
  <c r="L31" i="4"/>
  <c r="E31" i="4"/>
  <c r="L33" i="4"/>
  <c r="E33" i="4"/>
  <c r="L64" i="3"/>
  <c r="L39" i="4"/>
  <c r="E39" i="4"/>
  <c r="L41" i="4"/>
  <c r="E41" i="4"/>
  <c r="L70" i="3"/>
  <c r="L72" i="3"/>
  <c r="L47" i="4"/>
  <c r="E47" i="4"/>
  <c r="L49" i="4"/>
  <c r="E49" i="4"/>
  <c r="L81" i="3"/>
  <c r="L83" i="3"/>
  <c r="L91" i="3"/>
  <c r="L97" i="3"/>
  <c r="L99" i="3"/>
  <c r="L75" i="4"/>
  <c r="E75" i="4"/>
  <c r="L76" i="4"/>
  <c r="E76" i="4"/>
  <c r="L106" i="3"/>
  <c r="L108" i="3"/>
  <c r="E83" i="4"/>
  <c r="L83" i="4"/>
  <c r="E84" i="4"/>
  <c r="L84" i="4"/>
  <c r="L114" i="3"/>
  <c r="E92" i="4"/>
  <c r="L92" i="4"/>
  <c r="E93" i="4"/>
  <c r="L122" i="3"/>
  <c r="L124" i="3"/>
  <c r="E100" i="4"/>
  <c r="L100" i="4"/>
  <c r="E101" i="4"/>
  <c r="L130" i="3"/>
  <c r="L132" i="3"/>
  <c r="E108" i="4"/>
  <c r="L108" i="4"/>
  <c r="E109" i="4"/>
  <c r="L138" i="3"/>
  <c r="L140" i="3"/>
  <c r="E116" i="4"/>
  <c r="L116" i="4"/>
  <c r="E117" i="4"/>
  <c r="L146" i="3"/>
  <c r="E124" i="4"/>
  <c r="L124" i="4"/>
  <c r="E125" i="4"/>
  <c r="L154" i="3"/>
  <c r="E132" i="4"/>
  <c r="L132" i="4"/>
  <c r="E133" i="4"/>
  <c r="E136" i="4"/>
  <c r="L136" i="4"/>
  <c r="E137" i="4"/>
  <c r="E140" i="4"/>
  <c r="L140" i="4"/>
  <c r="E141" i="4"/>
  <c r="E144" i="4"/>
  <c r="L144" i="4"/>
  <c r="E145" i="4"/>
  <c r="E148" i="4"/>
  <c r="L148" i="4"/>
  <c r="E149" i="4"/>
  <c r="E152" i="4"/>
  <c r="L152" i="4"/>
  <c r="E153" i="4"/>
  <c r="E156" i="4"/>
  <c r="L156" i="4"/>
  <c r="E157" i="4"/>
  <c r="E160" i="4"/>
  <c r="L160" i="4"/>
  <c r="E161" i="4"/>
  <c r="E164" i="4"/>
  <c r="L164" i="4"/>
  <c r="E165" i="4"/>
  <c r="L195" i="3"/>
  <c r="L171" i="4"/>
  <c r="E171" i="4"/>
  <c r="L199" i="3"/>
  <c r="E175" i="4"/>
  <c r="L175" i="4"/>
  <c r="L203" i="3"/>
  <c r="L179" i="4"/>
  <c r="E179" i="4"/>
  <c r="L207" i="3"/>
  <c r="E183" i="4"/>
  <c r="L183" i="4"/>
  <c r="L211" i="3"/>
  <c r="L187" i="4"/>
  <c r="E187" i="4"/>
  <c r="L215" i="3"/>
  <c r="M218" i="3"/>
  <c r="L218" i="3"/>
  <c r="L220" i="3"/>
  <c r="M222" i="3"/>
  <c r="L222" i="3"/>
  <c r="L224" i="3"/>
  <c r="M226" i="3"/>
  <c r="L226" i="3"/>
  <c r="L228" i="3"/>
  <c r="M230" i="3"/>
  <c r="L230" i="3"/>
  <c r="L232" i="3"/>
  <c r="M234" i="3"/>
  <c r="P234" i="3" s="1"/>
  <c r="D208" i="4" s="1"/>
  <c r="L234" i="3"/>
  <c r="M238" i="3"/>
  <c r="L238" i="3"/>
  <c r="P239" i="3"/>
  <c r="D213" i="4" s="1"/>
  <c r="L241" i="3"/>
  <c r="L245" i="3"/>
  <c r="P248" i="3"/>
  <c r="D222" i="4" s="1"/>
  <c r="L224" i="4"/>
  <c r="E224" i="4"/>
  <c r="E228" i="4"/>
  <c r="L228" i="4"/>
  <c r="L232" i="4"/>
  <c r="E232" i="4"/>
  <c r="L263" i="3"/>
  <c r="M266" i="3"/>
  <c r="L266" i="3"/>
  <c r="L277" i="3"/>
  <c r="L255" i="4"/>
  <c r="E255" i="4"/>
  <c r="L283" i="3"/>
  <c r="M283" i="3"/>
  <c r="L286" i="3"/>
  <c r="L288" i="3"/>
  <c r="M290" i="3"/>
  <c r="L290" i="3"/>
  <c r="P296" i="3"/>
  <c r="D270" i="4" s="1"/>
  <c r="L298" i="3"/>
  <c r="M299" i="3"/>
  <c r="L300" i="3"/>
  <c r="M301" i="3"/>
  <c r="L301" i="3"/>
  <c r="E277" i="4"/>
  <c r="L277" i="4"/>
  <c r="E284" i="4"/>
  <c r="L284" i="4"/>
  <c r="E308" i="4"/>
  <c r="L308" i="4"/>
  <c r="L337" i="3"/>
  <c r="L353" i="3"/>
  <c r="E340" i="4"/>
  <c r="L340" i="4"/>
  <c r="L369" i="3"/>
  <c r="E356" i="4"/>
  <c r="L356" i="4"/>
  <c r="L385" i="3"/>
  <c r="E8" i="4"/>
  <c r="G9" i="4"/>
  <c r="E10" i="5" s="1"/>
  <c r="G22" i="4"/>
  <c r="L30" i="4"/>
  <c r="L34" i="4"/>
  <c r="E34" i="4"/>
  <c r="E40" i="4"/>
  <c r="G41" i="4"/>
  <c r="E53" i="4"/>
  <c r="G54" i="4"/>
  <c r="L62" i="4"/>
  <c r="L66" i="4"/>
  <c r="E66" i="4"/>
  <c r="E72" i="4"/>
  <c r="G73" i="4"/>
  <c r="E78" i="4"/>
  <c r="L93" i="4"/>
  <c r="L101" i="4"/>
  <c r="L109" i="4"/>
  <c r="L117" i="4"/>
  <c r="L125" i="4"/>
  <c r="G180" i="4"/>
  <c r="G204" i="4"/>
  <c r="E235" i="4"/>
  <c r="G255" i="4"/>
  <c r="L316" i="3"/>
  <c r="L291" i="4"/>
  <c r="E291" i="4"/>
  <c r="E292" i="4"/>
  <c r="L292" i="4"/>
  <c r="L293" i="4"/>
  <c r="E293" i="4"/>
  <c r="L327" i="3"/>
  <c r="L335" i="3"/>
  <c r="L343" i="3"/>
  <c r="L351" i="3"/>
  <c r="L359" i="3"/>
  <c r="L367" i="3"/>
  <c r="L375" i="3"/>
  <c r="L383" i="3"/>
  <c r="L391" i="3"/>
  <c r="L78" i="4"/>
  <c r="L86" i="4"/>
  <c r="L202" i="4"/>
  <c r="E202" i="4"/>
  <c r="E259" i="4"/>
  <c r="L322" i="4"/>
  <c r="E322" i="4"/>
  <c r="E173" i="4"/>
  <c r="L173" i="4"/>
  <c r="E181" i="4"/>
  <c r="L181" i="4"/>
  <c r="E189" i="4"/>
  <c r="L189" i="4"/>
  <c r="E197" i="4"/>
  <c r="L197" i="4"/>
  <c r="L201" i="4"/>
  <c r="E201" i="4"/>
  <c r="L205" i="4"/>
  <c r="E205" i="4"/>
  <c r="L209" i="4"/>
  <c r="E209" i="4"/>
  <c r="L217" i="4"/>
  <c r="E217" i="4"/>
  <c r="L221" i="4"/>
  <c r="E221" i="4"/>
  <c r="L225" i="4"/>
  <c r="E225" i="4"/>
  <c r="L229" i="4"/>
  <c r="E229" i="4"/>
  <c r="L237" i="4"/>
  <c r="E237" i="4"/>
  <c r="E244" i="4"/>
  <c r="L245" i="4"/>
  <c r="E245" i="4"/>
  <c r="L251" i="4"/>
  <c r="E251" i="4"/>
  <c r="E252" i="4"/>
  <c r="L252" i="4"/>
  <c r="L253" i="4"/>
  <c r="E253" i="4"/>
  <c r="E260" i="4"/>
  <c r="L260" i="4"/>
  <c r="L261" i="4"/>
  <c r="E261" i="4"/>
  <c r="E268" i="4"/>
  <c r="L269" i="4"/>
  <c r="E269" i="4"/>
  <c r="L303" i="3"/>
  <c r="L311" i="3"/>
  <c r="L317" i="3"/>
  <c r="L319" i="3"/>
  <c r="L295" i="4"/>
  <c r="E295" i="4"/>
  <c r="L296" i="4"/>
  <c r="E296" i="4"/>
  <c r="L297" i="4"/>
  <c r="E297" i="4"/>
  <c r="L326" i="3"/>
  <c r="M327" i="3"/>
  <c r="L328" i="3"/>
  <c r="L303" i="4"/>
  <c r="E303" i="4"/>
  <c r="L304" i="4"/>
  <c r="E304" i="4"/>
  <c r="L305" i="4"/>
  <c r="E305" i="4"/>
  <c r="L334" i="3"/>
  <c r="M335" i="3"/>
  <c r="L311" i="4"/>
  <c r="E311" i="4"/>
  <c r="L312" i="4"/>
  <c r="E312" i="4"/>
  <c r="L313" i="4"/>
  <c r="E313" i="4"/>
  <c r="L342" i="3"/>
  <c r="M343" i="3"/>
  <c r="L319" i="4"/>
  <c r="E319" i="4"/>
  <c r="L320" i="4"/>
  <c r="E320" i="4"/>
  <c r="L321" i="4"/>
  <c r="E321" i="4"/>
  <c r="L350" i="3"/>
  <c r="P350" i="3" s="1"/>
  <c r="D324" i="4" s="1"/>
  <c r="M351" i="3"/>
  <c r="L327" i="4"/>
  <c r="E327" i="4"/>
  <c r="L328" i="4"/>
  <c r="E328" i="4"/>
  <c r="L329" i="4"/>
  <c r="E329" i="4"/>
  <c r="L358" i="3"/>
  <c r="M359" i="3"/>
  <c r="E335" i="4"/>
  <c r="L335" i="4"/>
  <c r="E336" i="4"/>
  <c r="L336" i="4"/>
  <c r="E337" i="4"/>
  <c r="L337" i="4"/>
  <c r="L366" i="3"/>
  <c r="M367" i="3"/>
  <c r="L343" i="4"/>
  <c r="E343" i="4"/>
  <c r="E344" i="4"/>
  <c r="L344" i="4"/>
  <c r="L345" i="4"/>
  <c r="E345" i="4"/>
  <c r="L374" i="3"/>
  <c r="M375" i="3"/>
  <c r="E351" i="4"/>
  <c r="L351" i="4"/>
  <c r="E352" i="4"/>
  <c r="L352" i="4"/>
  <c r="E353" i="4"/>
  <c r="L353" i="4"/>
  <c r="L382" i="3"/>
  <c r="M383" i="3"/>
  <c r="E359" i="4"/>
  <c r="L359" i="4"/>
  <c r="E360" i="4"/>
  <c r="L360" i="4"/>
  <c r="E361" i="4"/>
  <c r="L361" i="4"/>
  <c r="L390" i="3"/>
  <c r="M391" i="3"/>
  <c r="E367" i="4"/>
  <c r="L367" i="4"/>
  <c r="E368" i="4"/>
  <c r="L368" i="4"/>
  <c r="E369" i="4"/>
  <c r="L369" i="4"/>
  <c r="E6" i="4"/>
  <c r="E206" i="4"/>
  <c r="E267" i="4"/>
  <c r="L268" i="4"/>
  <c r="E90" i="4"/>
  <c r="E94" i="4"/>
  <c r="E98" i="4"/>
  <c r="E102" i="4"/>
  <c r="E106" i="4"/>
  <c r="E110" i="4"/>
  <c r="E114" i="4"/>
  <c r="E118" i="4"/>
  <c r="E122" i="4"/>
  <c r="E126" i="4"/>
  <c r="E130" i="4"/>
  <c r="E134" i="4"/>
  <c r="E138" i="4"/>
  <c r="E142" i="4"/>
  <c r="E146" i="4"/>
  <c r="E150" i="4"/>
  <c r="E154" i="4"/>
  <c r="E158" i="4"/>
  <c r="E162" i="4"/>
  <c r="E170" i="4"/>
  <c r="L170" i="4"/>
  <c r="E174" i="4"/>
  <c r="L174" i="4"/>
  <c r="E178" i="4"/>
  <c r="L178" i="4"/>
  <c r="E182" i="4"/>
  <c r="L182" i="4"/>
  <c r="E186" i="4"/>
  <c r="L186" i="4"/>
  <c r="E194" i="4"/>
  <c r="L194" i="4"/>
  <c r="E198" i="4"/>
  <c r="L210" i="4"/>
  <c r="E210" i="4"/>
  <c r="E214" i="4"/>
  <c r="L226" i="4"/>
  <c r="E226" i="4"/>
  <c r="L230" i="4"/>
  <c r="E230" i="4"/>
  <c r="L234" i="4"/>
  <c r="E234" i="4"/>
  <c r="L271" i="3"/>
  <c r="L279" i="3"/>
  <c r="L287" i="3"/>
  <c r="L295" i="3"/>
  <c r="L271" i="4"/>
  <c r="E271" i="4"/>
  <c r="L302" i="3"/>
  <c r="M303" i="3"/>
  <c r="L279" i="4"/>
  <c r="E279" i="4"/>
  <c r="E280" i="4"/>
  <c r="L280" i="4"/>
  <c r="L281" i="4"/>
  <c r="E281" i="4"/>
  <c r="L310" i="3"/>
  <c r="M311" i="3"/>
  <c r="L312" i="3"/>
  <c r="E287" i="4"/>
  <c r="L287" i="4"/>
  <c r="E288" i="4"/>
  <c r="L288" i="4"/>
  <c r="L289" i="4"/>
  <c r="E289" i="4"/>
  <c r="L318" i="3"/>
  <c r="M319" i="3"/>
  <c r="L323" i="3"/>
  <c r="L331" i="3"/>
  <c r="L339" i="3"/>
  <c r="L347" i="3"/>
  <c r="L355" i="3"/>
  <c r="L363" i="3"/>
  <c r="L371" i="3"/>
  <c r="L379" i="3"/>
  <c r="L387" i="3"/>
  <c r="L395" i="3"/>
  <c r="L214" i="4"/>
  <c r="E273" i="4"/>
  <c r="L242" i="4"/>
  <c r="E242" i="4"/>
  <c r="L250" i="4"/>
  <c r="E250" i="4"/>
  <c r="L258" i="4"/>
  <c r="E258" i="4"/>
  <c r="L266" i="4"/>
  <c r="E266" i="4"/>
  <c r="E274" i="4"/>
  <c r="L274" i="4"/>
  <c r="E278" i="4"/>
  <c r="L278" i="4"/>
  <c r="E282" i="4"/>
  <c r="L282" i="4"/>
  <c r="E286" i="4"/>
  <c r="L286" i="4"/>
  <c r="L290" i="4"/>
  <c r="E290" i="4"/>
  <c r="L298" i="4"/>
  <c r="E298" i="4"/>
  <c r="L306" i="4"/>
  <c r="E306" i="4"/>
  <c r="L310" i="4"/>
  <c r="E310" i="4"/>
  <c r="L314" i="4"/>
  <c r="E314" i="4"/>
  <c r="L318" i="4"/>
  <c r="E318" i="4"/>
  <c r="E326" i="4"/>
  <c r="L326" i="4"/>
  <c r="E330" i="4"/>
  <c r="E334" i="4"/>
  <c r="L334" i="4"/>
  <c r="E338" i="4"/>
  <c r="L338" i="4"/>
  <c r="E342" i="4"/>
  <c r="L342" i="4"/>
  <c r="E346" i="4"/>
  <c r="L350" i="4"/>
  <c r="E350" i="4"/>
  <c r="E354" i="4"/>
  <c r="L354" i="4"/>
  <c r="L358" i="4"/>
  <c r="E358" i="4"/>
  <c r="E362" i="4"/>
  <c r="L362" i="4"/>
  <c r="L366" i="4"/>
  <c r="E366" i="4"/>
  <c r="L370" i="4"/>
  <c r="E370" i="4"/>
  <c r="E302" i="4"/>
  <c r="E262" i="4"/>
  <c r="L330" i="4"/>
  <c r="C35" i="9"/>
  <c r="F35" i="9" s="1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C58" i="9" s="1"/>
  <c r="D36" i="9"/>
  <c r="L227" i="4" l="1"/>
  <c r="E227" i="4"/>
  <c r="L213" i="4"/>
  <c r="E213" i="4"/>
  <c r="L208" i="4"/>
  <c r="E208" i="4"/>
  <c r="E16" i="5"/>
  <c r="L243" i="4"/>
  <c r="E243" i="4"/>
  <c r="D34" i="7"/>
  <c r="E15" i="5"/>
  <c r="E7" i="5"/>
  <c r="E13" i="5"/>
  <c r="E17" i="5"/>
  <c r="E11" i="5"/>
  <c r="E9" i="5"/>
  <c r="L233" i="4"/>
  <c r="E233" i="4"/>
  <c r="C43" i="7"/>
  <c r="C35" i="7"/>
  <c r="F46" i="7"/>
  <c r="C36" i="7"/>
  <c r="C47" i="7"/>
  <c r="D24" i="8"/>
  <c r="E24" i="8" s="1"/>
  <c r="C44" i="7"/>
  <c r="D18" i="8"/>
  <c r="E18" i="8" s="1"/>
  <c r="C45" i="7"/>
  <c r="E176" i="4"/>
  <c r="L176" i="4"/>
  <c r="G35" i="9"/>
  <c r="M6" i="4"/>
  <c r="M7" i="4" s="1"/>
  <c r="M8" i="4" s="1"/>
  <c r="M9" i="4" s="1"/>
  <c r="M10" i="4" s="1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H6" i="4"/>
  <c r="J6" i="4" s="1"/>
  <c r="E324" i="4"/>
  <c r="L324" i="4"/>
  <c r="L222" i="4"/>
  <c r="E222" i="4"/>
  <c r="E12" i="5"/>
  <c r="E6" i="5"/>
  <c r="C8" i="5"/>
  <c r="L21" i="4"/>
  <c r="E21" i="4"/>
  <c r="D35" i="7"/>
  <c r="D41" i="7"/>
  <c r="D39" i="7"/>
  <c r="D47" i="7"/>
  <c r="D44" i="7"/>
  <c r="D14" i="8"/>
  <c r="E14" i="8" s="1"/>
  <c r="D12" i="8"/>
  <c r="E12" i="8" s="1"/>
  <c r="C35" i="8" s="1"/>
  <c r="D7" i="8"/>
  <c r="E7" i="8" s="1"/>
  <c r="C34" i="8" s="1"/>
  <c r="C37" i="7"/>
  <c r="D29" i="8"/>
  <c r="E29" i="8" s="1"/>
  <c r="E46" i="7"/>
  <c r="D23" i="8"/>
  <c r="E23" i="8" s="1"/>
  <c r="D22" i="8"/>
  <c r="E22" i="8" s="1"/>
  <c r="C37" i="8" s="1"/>
  <c r="F38" i="7"/>
  <c r="G38" i="7"/>
  <c r="D36" i="8"/>
  <c r="E36" i="8"/>
  <c r="C39" i="7"/>
  <c r="D28" i="8"/>
  <c r="E28" i="8" s="1"/>
  <c r="G40" i="7"/>
  <c r="F40" i="7"/>
  <c r="F48" i="7"/>
  <c r="G48" i="7"/>
  <c r="G41" i="7"/>
  <c r="F41" i="7"/>
  <c r="E48" i="7"/>
  <c r="L256" i="4"/>
  <c r="E256" i="4"/>
  <c r="L270" i="4"/>
  <c r="E270" i="4"/>
  <c r="E355" i="4"/>
  <c r="L355" i="4"/>
  <c r="E166" i="4"/>
  <c r="L166" i="4"/>
  <c r="L50" i="4"/>
  <c r="E50" i="4"/>
  <c r="L238" i="4"/>
  <c r="E238" i="4"/>
  <c r="C15" i="5"/>
  <c r="P230" i="3"/>
  <c r="D204" i="4" s="1"/>
  <c r="C17" i="5" s="1"/>
  <c r="E14" i="5"/>
  <c r="C16" i="5"/>
  <c r="D38" i="7"/>
  <c r="D36" i="7"/>
  <c r="D43" i="7"/>
  <c r="D40" i="7"/>
  <c r="D48" i="7"/>
  <c r="E41" i="7"/>
  <c r="C34" i="7"/>
  <c r="C42" i="7"/>
  <c r="D9" i="8"/>
  <c r="E9" i="8" s="1"/>
  <c r="D8" i="8"/>
  <c r="E8" i="8" s="1"/>
  <c r="P6" i="4" l="1"/>
  <c r="E37" i="8"/>
  <c r="D37" i="8"/>
  <c r="G35" i="7"/>
  <c r="F35" i="7"/>
  <c r="E35" i="7"/>
  <c r="G45" i="7"/>
  <c r="F45" i="7"/>
  <c r="E45" i="7"/>
  <c r="F47" i="7"/>
  <c r="G47" i="7"/>
  <c r="E47" i="7"/>
  <c r="G43" i="7"/>
  <c r="F43" i="7"/>
  <c r="E43" i="7"/>
  <c r="C12" i="5"/>
  <c r="F39" i="7"/>
  <c r="G39" i="7"/>
  <c r="E39" i="7"/>
  <c r="E35" i="8"/>
  <c r="D35" i="8"/>
  <c r="E38" i="8"/>
  <c r="D38" i="8"/>
  <c r="E18" i="5"/>
  <c r="M21" i="4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s="1"/>
  <c r="M61" i="4" s="1"/>
  <c r="M62" i="4" s="1"/>
  <c r="M63" i="4" s="1"/>
  <c r="M64" i="4" s="1"/>
  <c r="M65" i="4" s="1"/>
  <c r="M66" i="4" s="1"/>
  <c r="M67" i="4" s="1"/>
  <c r="M68" i="4" s="1"/>
  <c r="M69" i="4" s="1"/>
  <c r="M70" i="4" s="1"/>
  <c r="M71" i="4" s="1"/>
  <c r="M72" i="4" s="1"/>
  <c r="M73" i="4" s="1"/>
  <c r="M74" i="4" s="1"/>
  <c r="M75" i="4" s="1"/>
  <c r="M76" i="4" s="1"/>
  <c r="M77" i="4" s="1"/>
  <c r="M78" i="4" s="1"/>
  <c r="M79" i="4" s="1"/>
  <c r="M80" i="4" s="1"/>
  <c r="M81" i="4" s="1"/>
  <c r="M82" i="4" s="1"/>
  <c r="M83" i="4" s="1"/>
  <c r="M84" i="4" s="1"/>
  <c r="M85" i="4" s="1"/>
  <c r="M86" i="4" s="1"/>
  <c r="M87" i="4" s="1"/>
  <c r="M88" i="4" s="1"/>
  <c r="M89" i="4" s="1"/>
  <c r="M90" i="4" s="1"/>
  <c r="M91" i="4" s="1"/>
  <c r="M92" i="4" s="1"/>
  <c r="M93" i="4" s="1"/>
  <c r="M94" i="4" s="1"/>
  <c r="M95" i="4" s="1"/>
  <c r="M96" i="4" s="1"/>
  <c r="M97" i="4" s="1"/>
  <c r="M98" i="4" s="1"/>
  <c r="M99" i="4" s="1"/>
  <c r="M100" i="4" s="1"/>
  <c r="M101" i="4" s="1"/>
  <c r="M102" i="4" s="1"/>
  <c r="M103" i="4" s="1"/>
  <c r="M104" i="4" s="1"/>
  <c r="M105" i="4" s="1"/>
  <c r="M106" i="4" s="1"/>
  <c r="M107" i="4" s="1"/>
  <c r="M108" i="4" s="1"/>
  <c r="M109" i="4" s="1"/>
  <c r="M110" i="4" s="1"/>
  <c r="M111" i="4" s="1"/>
  <c r="M112" i="4" s="1"/>
  <c r="M113" i="4" s="1"/>
  <c r="M114" i="4" s="1"/>
  <c r="M115" i="4" s="1"/>
  <c r="M116" i="4" s="1"/>
  <c r="M117" i="4" s="1"/>
  <c r="M118" i="4" s="1"/>
  <c r="M119" i="4" s="1"/>
  <c r="M120" i="4" s="1"/>
  <c r="M121" i="4" s="1"/>
  <c r="M122" i="4" s="1"/>
  <c r="M123" i="4" s="1"/>
  <c r="M124" i="4" s="1"/>
  <c r="M125" i="4" s="1"/>
  <c r="M126" i="4" s="1"/>
  <c r="M127" i="4" s="1"/>
  <c r="M128" i="4" s="1"/>
  <c r="M129" i="4" s="1"/>
  <c r="M130" i="4" s="1"/>
  <c r="M131" i="4" s="1"/>
  <c r="M132" i="4" s="1"/>
  <c r="M133" i="4" s="1"/>
  <c r="M134" i="4" s="1"/>
  <c r="M135" i="4" s="1"/>
  <c r="M136" i="4" s="1"/>
  <c r="M137" i="4" s="1"/>
  <c r="M138" i="4" s="1"/>
  <c r="M139" i="4" s="1"/>
  <c r="M140" i="4" s="1"/>
  <c r="M141" i="4" s="1"/>
  <c r="M142" i="4" s="1"/>
  <c r="M143" i="4" s="1"/>
  <c r="M144" i="4" s="1"/>
  <c r="M145" i="4" s="1"/>
  <c r="M146" i="4" s="1"/>
  <c r="M147" i="4" s="1"/>
  <c r="M148" i="4" s="1"/>
  <c r="M149" i="4" s="1"/>
  <c r="M150" i="4" s="1"/>
  <c r="M151" i="4" s="1"/>
  <c r="M152" i="4" s="1"/>
  <c r="M153" i="4" s="1"/>
  <c r="M154" i="4" s="1"/>
  <c r="M155" i="4" s="1"/>
  <c r="M156" i="4" s="1"/>
  <c r="M157" i="4" s="1"/>
  <c r="M158" i="4" s="1"/>
  <c r="M159" i="4" s="1"/>
  <c r="M160" i="4" s="1"/>
  <c r="M161" i="4" s="1"/>
  <c r="M162" i="4" s="1"/>
  <c r="M163" i="4" s="1"/>
  <c r="M164" i="4" s="1"/>
  <c r="M165" i="4" s="1"/>
  <c r="M166" i="4" s="1"/>
  <c r="M167" i="4" s="1"/>
  <c r="M168" i="4" s="1"/>
  <c r="M169" i="4" s="1"/>
  <c r="M170" i="4" s="1"/>
  <c r="M171" i="4" s="1"/>
  <c r="M172" i="4" s="1"/>
  <c r="M173" i="4" s="1"/>
  <c r="M174" i="4" s="1"/>
  <c r="M175" i="4" s="1"/>
  <c r="M176" i="4" s="1"/>
  <c r="M177" i="4" s="1"/>
  <c r="M178" i="4" s="1"/>
  <c r="M179" i="4" s="1"/>
  <c r="M180" i="4" s="1"/>
  <c r="M181" i="4" s="1"/>
  <c r="M182" i="4" s="1"/>
  <c r="M183" i="4" s="1"/>
  <c r="M184" i="4" s="1"/>
  <c r="M185" i="4" s="1"/>
  <c r="M186" i="4" s="1"/>
  <c r="M187" i="4" s="1"/>
  <c r="M188" i="4" s="1"/>
  <c r="M189" i="4" s="1"/>
  <c r="M190" i="4" s="1"/>
  <c r="M191" i="4" s="1"/>
  <c r="M192" i="4" s="1"/>
  <c r="M193" i="4" s="1"/>
  <c r="M194" i="4" s="1"/>
  <c r="M195" i="4" s="1"/>
  <c r="M196" i="4" s="1"/>
  <c r="M197" i="4" s="1"/>
  <c r="M198" i="4" s="1"/>
  <c r="M199" i="4" s="1"/>
  <c r="M200" i="4" s="1"/>
  <c r="M201" i="4" s="1"/>
  <c r="M202" i="4" s="1"/>
  <c r="M203" i="4" s="1"/>
  <c r="G36" i="7"/>
  <c r="F36" i="7"/>
  <c r="E36" i="7"/>
  <c r="G46" i="7"/>
  <c r="F42" i="7"/>
  <c r="G42" i="7"/>
  <c r="E42" i="7"/>
  <c r="C53" i="7"/>
  <c r="C54" i="7"/>
  <c r="F34" i="7"/>
  <c r="E34" i="7"/>
  <c r="N6" i="4"/>
  <c r="D34" i="8"/>
  <c r="E34" i="8"/>
  <c r="E204" i="4"/>
  <c r="D7" i="5" s="1"/>
  <c r="L204" i="4"/>
  <c r="C10" i="5"/>
  <c r="C7" i="5"/>
  <c r="C6" i="5"/>
  <c r="C13" i="5"/>
  <c r="C9" i="5"/>
  <c r="C11" i="5"/>
  <c r="G37" i="7"/>
  <c r="F37" i="7"/>
  <c r="E37" i="7"/>
  <c r="C14" i="5"/>
  <c r="I6" i="4"/>
  <c r="G44" i="7"/>
  <c r="F44" i="7"/>
  <c r="E44" i="7"/>
  <c r="D17" i="5" l="1"/>
  <c r="D9" i="5"/>
  <c r="D6" i="5"/>
  <c r="D10" i="5"/>
  <c r="O6" i="4"/>
  <c r="K6" i="4"/>
  <c r="C18" i="5"/>
  <c r="B8" i="1" s="1"/>
  <c r="D11" i="5"/>
  <c r="D14" i="5"/>
  <c r="D16" i="5"/>
  <c r="D12" i="5"/>
  <c r="D15" i="5"/>
  <c r="D13" i="5"/>
  <c r="M204" i="4"/>
  <c r="M205" i="4" s="1"/>
  <c r="M206" i="4" s="1"/>
  <c r="M207" i="4" s="1"/>
  <c r="M208" i="4" s="1"/>
  <c r="M209" i="4" s="1"/>
  <c r="M210" i="4" s="1"/>
  <c r="M211" i="4" s="1"/>
  <c r="M212" i="4" s="1"/>
  <c r="M213" i="4" s="1"/>
  <c r="M214" i="4" s="1"/>
  <c r="M215" i="4" s="1"/>
  <c r="M216" i="4" s="1"/>
  <c r="M217" i="4" s="1"/>
  <c r="M218" i="4" s="1"/>
  <c r="M219" i="4" s="1"/>
  <c r="M220" i="4" s="1"/>
  <c r="M221" i="4" s="1"/>
  <c r="M222" i="4" s="1"/>
  <c r="M223" i="4" s="1"/>
  <c r="M224" i="4" s="1"/>
  <c r="M225" i="4" s="1"/>
  <c r="M226" i="4" s="1"/>
  <c r="M227" i="4" s="1"/>
  <c r="M228" i="4" s="1"/>
  <c r="M229" i="4" s="1"/>
  <c r="M230" i="4" s="1"/>
  <c r="M231" i="4" s="1"/>
  <c r="M232" i="4" s="1"/>
  <c r="M233" i="4" s="1"/>
  <c r="M234" i="4" s="1"/>
  <c r="M235" i="4" s="1"/>
  <c r="M236" i="4" s="1"/>
  <c r="M237" i="4" s="1"/>
  <c r="M238" i="4" s="1"/>
  <c r="M239" i="4" s="1"/>
  <c r="M240" i="4" s="1"/>
  <c r="M241" i="4" s="1"/>
  <c r="M242" i="4" s="1"/>
  <c r="M243" i="4" s="1"/>
  <c r="M244" i="4" s="1"/>
  <c r="M245" i="4" s="1"/>
  <c r="M246" i="4" s="1"/>
  <c r="M247" i="4" s="1"/>
  <c r="M248" i="4" s="1"/>
  <c r="M249" i="4" s="1"/>
  <c r="M250" i="4" s="1"/>
  <c r="M251" i="4" s="1"/>
  <c r="M252" i="4" s="1"/>
  <c r="M253" i="4" s="1"/>
  <c r="M254" i="4" s="1"/>
  <c r="M255" i="4" s="1"/>
  <c r="M256" i="4" s="1"/>
  <c r="M257" i="4" s="1"/>
  <c r="M258" i="4" s="1"/>
  <c r="M259" i="4" s="1"/>
  <c r="M260" i="4" s="1"/>
  <c r="M261" i="4" s="1"/>
  <c r="M262" i="4" s="1"/>
  <c r="M263" i="4" s="1"/>
  <c r="M264" i="4" s="1"/>
  <c r="M265" i="4" s="1"/>
  <c r="M266" i="4" s="1"/>
  <c r="M267" i="4" s="1"/>
  <c r="M268" i="4" s="1"/>
  <c r="M269" i="4" s="1"/>
  <c r="M270" i="4" s="1"/>
  <c r="M271" i="4" s="1"/>
  <c r="M272" i="4" s="1"/>
  <c r="M273" i="4" s="1"/>
  <c r="M274" i="4" s="1"/>
  <c r="M275" i="4" s="1"/>
  <c r="M276" i="4" s="1"/>
  <c r="M277" i="4" s="1"/>
  <c r="M278" i="4" s="1"/>
  <c r="M279" i="4" s="1"/>
  <c r="M280" i="4" s="1"/>
  <c r="M281" i="4" s="1"/>
  <c r="M282" i="4" s="1"/>
  <c r="M283" i="4" s="1"/>
  <c r="M284" i="4" s="1"/>
  <c r="M285" i="4" s="1"/>
  <c r="M286" i="4" s="1"/>
  <c r="M287" i="4" s="1"/>
  <c r="M288" i="4" s="1"/>
  <c r="M289" i="4" s="1"/>
  <c r="M290" i="4" s="1"/>
  <c r="M291" i="4" s="1"/>
  <c r="M292" i="4" s="1"/>
  <c r="M293" i="4" s="1"/>
  <c r="M294" i="4" s="1"/>
  <c r="M295" i="4" s="1"/>
  <c r="M296" i="4" s="1"/>
  <c r="M297" i="4" s="1"/>
  <c r="M298" i="4" s="1"/>
  <c r="M299" i="4" s="1"/>
  <c r="M300" i="4" s="1"/>
  <c r="M301" i="4" s="1"/>
  <c r="M302" i="4" s="1"/>
  <c r="M303" i="4" s="1"/>
  <c r="M304" i="4" s="1"/>
  <c r="M305" i="4" s="1"/>
  <c r="M306" i="4" s="1"/>
  <c r="M307" i="4" s="1"/>
  <c r="M308" i="4" s="1"/>
  <c r="M309" i="4" s="1"/>
  <c r="M310" i="4" s="1"/>
  <c r="M311" i="4" s="1"/>
  <c r="M312" i="4" s="1"/>
  <c r="M313" i="4" s="1"/>
  <c r="M314" i="4" s="1"/>
  <c r="M315" i="4" s="1"/>
  <c r="M316" i="4" s="1"/>
  <c r="M317" i="4" s="1"/>
  <c r="M318" i="4" s="1"/>
  <c r="M319" i="4" s="1"/>
  <c r="M320" i="4" s="1"/>
  <c r="M321" i="4" s="1"/>
  <c r="M322" i="4" s="1"/>
  <c r="M323" i="4" s="1"/>
  <c r="M324" i="4" s="1"/>
  <c r="M325" i="4" s="1"/>
  <c r="M326" i="4" s="1"/>
  <c r="M327" i="4" s="1"/>
  <c r="M328" i="4" s="1"/>
  <c r="M329" i="4" s="1"/>
  <c r="M330" i="4" s="1"/>
  <c r="M331" i="4" s="1"/>
  <c r="M332" i="4" s="1"/>
  <c r="M333" i="4" s="1"/>
  <c r="M334" i="4" s="1"/>
  <c r="M335" i="4" s="1"/>
  <c r="M336" i="4" s="1"/>
  <c r="M337" i="4" s="1"/>
  <c r="M338" i="4" s="1"/>
  <c r="M339" i="4" s="1"/>
  <c r="M340" i="4" s="1"/>
  <c r="M341" i="4" s="1"/>
  <c r="M342" i="4" s="1"/>
  <c r="M343" i="4" s="1"/>
  <c r="M344" i="4" s="1"/>
  <c r="M345" i="4" s="1"/>
  <c r="M346" i="4" s="1"/>
  <c r="M347" i="4" s="1"/>
  <c r="M348" i="4" s="1"/>
  <c r="M349" i="4" s="1"/>
  <c r="M350" i="4" s="1"/>
  <c r="M351" i="4" s="1"/>
  <c r="M352" i="4" s="1"/>
  <c r="M353" i="4" s="1"/>
  <c r="M354" i="4" s="1"/>
  <c r="M355" i="4" s="1"/>
  <c r="M356" i="4" s="1"/>
  <c r="M357" i="4" s="1"/>
  <c r="M358" i="4" s="1"/>
  <c r="M359" i="4" s="1"/>
  <c r="M360" i="4" s="1"/>
  <c r="M361" i="4" s="1"/>
  <c r="M362" i="4" s="1"/>
  <c r="M363" i="4" s="1"/>
  <c r="M364" i="4" s="1"/>
  <c r="M365" i="4" s="1"/>
  <c r="M366" i="4" s="1"/>
  <c r="M367" i="4" s="1"/>
  <c r="M368" i="4" s="1"/>
  <c r="M369" i="4" s="1"/>
  <c r="M370" i="4" s="1"/>
  <c r="D8" i="5"/>
  <c r="F7" i="4" l="1"/>
  <c r="D18" i="5"/>
  <c r="C8" i="1" s="1"/>
  <c r="H7" i="4" l="1"/>
  <c r="I7" i="4" l="1"/>
  <c r="J7" i="4"/>
  <c r="N7" i="4"/>
  <c r="P7" i="4" l="1"/>
  <c r="O7" i="4"/>
  <c r="K7" i="4"/>
  <c r="F8" i="4" l="1"/>
  <c r="H8" i="4" l="1"/>
  <c r="J8" i="4" l="1"/>
  <c r="N8" i="4"/>
  <c r="I8" i="4"/>
  <c r="O8" i="4" l="1"/>
  <c r="P8" i="4"/>
  <c r="K8" i="4"/>
  <c r="F9" i="4" l="1"/>
  <c r="H9" i="4" l="1"/>
  <c r="I9" i="4" l="1"/>
  <c r="J9" i="4"/>
  <c r="N9" i="4"/>
  <c r="P9" i="4" l="1"/>
  <c r="O9" i="4"/>
  <c r="K9" i="4"/>
  <c r="F10" i="4" l="1"/>
  <c r="H10" i="4" l="1"/>
  <c r="I10" i="4" s="1"/>
  <c r="O10" i="4" l="1"/>
  <c r="J10" i="4"/>
  <c r="N10" i="4"/>
  <c r="K10" i="4"/>
  <c r="F11" i="4" s="1"/>
  <c r="P10" i="4" l="1"/>
  <c r="H11" i="4"/>
  <c r="J11" i="4" s="1"/>
  <c r="I11" i="4"/>
  <c r="O11" i="4" s="1"/>
  <c r="K11" i="4"/>
  <c r="F12" i="4" s="1"/>
  <c r="H12" i="4" l="1"/>
  <c r="J12" i="4" s="1"/>
  <c r="N11" i="4"/>
  <c r="P11" i="4"/>
  <c r="P12" i="4" l="1"/>
  <c r="I12" i="4"/>
  <c r="O12" i="4" s="1"/>
  <c r="N12" i="4"/>
  <c r="K12" i="4" l="1"/>
  <c r="F13" i="4" s="1"/>
  <c r="H13" i="4" l="1"/>
  <c r="I13" i="4" s="1"/>
  <c r="O13" i="4" s="1"/>
  <c r="K13" i="4" l="1"/>
  <c r="F14" i="4" s="1"/>
  <c r="J13" i="4"/>
  <c r="P13" i="4" s="1"/>
  <c r="N13" i="4"/>
  <c r="H14" i="4" l="1"/>
  <c r="J14" i="4" s="1"/>
  <c r="P14" i="4" s="1"/>
  <c r="I14" i="4" l="1"/>
  <c r="O14" i="4" s="1"/>
  <c r="N14" i="4"/>
  <c r="K14" i="4" l="1"/>
  <c r="F15" i="4" s="1"/>
  <c r="H15" i="4" l="1"/>
  <c r="I15" i="4" s="1"/>
  <c r="O15" i="4" s="1"/>
  <c r="J15" i="4" l="1"/>
  <c r="P15" i="4" s="1"/>
  <c r="N15" i="4"/>
  <c r="K15" i="4"/>
  <c r="F16" i="4" s="1"/>
  <c r="H16" i="4" l="1"/>
  <c r="J16" i="4" s="1"/>
  <c r="P16" i="4" s="1"/>
  <c r="N16" i="4" l="1"/>
  <c r="I16" i="4"/>
  <c r="O16" i="4" s="1"/>
  <c r="K16" i="4" l="1"/>
  <c r="F17" i="4" s="1"/>
  <c r="H17" i="4" l="1"/>
  <c r="I17" i="4" l="1"/>
  <c r="O17" i="4" s="1"/>
  <c r="J17" i="4"/>
  <c r="P17" i="4" s="1"/>
  <c r="N17" i="4"/>
  <c r="K17" i="4" l="1"/>
  <c r="F18" i="4" s="1"/>
  <c r="H18" i="4" l="1"/>
  <c r="I18" i="4" l="1"/>
  <c r="O18" i="4" s="1"/>
  <c r="J18" i="4"/>
  <c r="P18" i="4" s="1"/>
  <c r="N18" i="4"/>
  <c r="K18" i="4" l="1"/>
  <c r="F19" i="4" s="1"/>
  <c r="H19" i="4" l="1"/>
  <c r="I19" i="4" s="1"/>
  <c r="O19" i="4" s="1"/>
  <c r="K19" i="4" l="1"/>
  <c r="F20" i="4" s="1"/>
  <c r="J19" i="4"/>
  <c r="P19" i="4" s="1"/>
  <c r="N19" i="4"/>
  <c r="H20" i="4" l="1"/>
  <c r="J20" i="4" s="1"/>
  <c r="P20" i="4" s="1"/>
  <c r="N20" i="4" l="1"/>
  <c r="I20" i="4"/>
  <c r="O20" i="4" s="1"/>
  <c r="K20" i="4" l="1"/>
  <c r="F21" i="4" s="1"/>
  <c r="H21" i="4" l="1"/>
  <c r="J21" i="4" l="1"/>
  <c r="P21" i="4" s="1"/>
  <c r="N21" i="4"/>
  <c r="I21" i="4"/>
  <c r="O21" i="4" s="1"/>
  <c r="K21" i="4" l="1"/>
  <c r="F22" i="4" s="1"/>
  <c r="H22" i="4" l="1"/>
  <c r="J22" i="4" l="1"/>
  <c r="P22" i="4" s="1"/>
  <c r="N22" i="4"/>
  <c r="I22" i="4"/>
  <c r="O22" i="4" s="1"/>
  <c r="K22" i="4" l="1"/>
  <c r="F23" i="4" s="1"/>
  <c r="H23" i="4" l="1"/>
  <c r="I23" i="4" l="1"/>
  <c r="O23" i="4" s="1"/>
  <c r="J23" i="4"/>
  <c r="P23" i="4" s="1"/>
  <c r="N23" i="4"/>
  <c r="K23" i="4" l="1"/>
  <c r="F24" i="4" s="1"/>
  <c r="H24" i="4" l="1"/>
  <c r="J24" i="4" l="1"/>
  <c r="P24" i="4" s="1"/>
  <c r="N24" i="4"/>
  <c r="I24" i="4"/>
  <c r="O24" i="4" s="1"/>
  <c r="K24" i="4" l="1"/>
  <c r="F25" i="4" s="1"/>
  <c r="H25" i="4" l="1"/>
  <c r="I25" i="4" l="1"/>
  <c r="O25" i="4" s="1"/>
  <c r="J25" i="4"/>
  <c r="P25" i="4" s="1"/>
  <c r="N25" i="4"/>
  <c r="K25" i="4" l="1"/>
  <c r="F26" i="4" s="1"/>
  <c r="H26" i="4" l="1"/>
  <c r="I26" i="4" l="1"/>
  <c r="O26" i="4" s="1"/>
  <c r="J26" i="4"/>
  <c r="P26" i="4" s="1"/>
  <c r="N26" i="4"/>
  <c r="K26" i="4" l="1"/>
  <c r="F27" i="4" s="1"/>
  <c r="H27" i="4" l="1"/>
  <c r="I27" i="4" s="1"/>
  <c r="O27" i="4" s="1"/>
  <c r="K27" i="4" l="1"/>
  <c r="F28" i="4" s="1"/>
  <c r="J27" i="4"/>
  <c r="P27" i="4" s="1"/>
  <c r="N27" i="4"/>
  <c r="H28" i="4" l="1"/>
  <c r="J28" i="4" s="1"/>
  <c r="P28" i="4" s="1"/>
  <c r="I28" i="4" l="1"/>
  <c r="O28" i="4" s="1"/>
  <c r="N28" i="4"/>
  <c r="K28" i="4" l="1"/>
  <c r="F29" i="4" s="1"/>
  <c r="H29" i="4" l="1"/>
  <c r="J29" i="4" l="1"/>
  <c r="P29" i="4" s="1"/>
  <c r="N29" i="4"/>
  <c r="I29" i="4"/>
  <c r="O29" i="4" s="1"/>
  <c r="K29" i="4" l="1"/>
  <c r="F30" i="4" s="1"/>
  <c r="H30" i="4" l="1"/>
  <c r="J30" i="4" l="1"/>
  <c r="P30" i="4" s="1"/>
  <c r="N30" i="4"/>
  <c r="I30" i="4"/>
  <c r="O30" i="4" s="1"/>
  <c r="K30" i="4" l="1"/>
  <c r="F31" i="4" s="1"/>
  <c r="H31" i="4" l="1"/>
  <c r="I31" i="4" l="1"/>
  <c r="O31" i="4" s="1"/>
  <c r="J31" i="4"/>
  <c r="P31" i="4" s="1"/>
  <c r="N31" i="4"/>
  <c r="K31" i="4" l="1"/>
  <c r="F32" i="4" s="1"/>
  <c r="H32" i="4" l="1"/>
  <c r="J32" i="4" l="1"/>
  <c r="P32" i="4" s="1"/>
  <c r="N32" i="4"/>
  <c r="I32" i="4"/>
  <c r="O32" i="4" s="1"/>
  <c r="K32" i="4" l="1"/>
  <c r="F33" i="4" s="1"/>
  <c r="H33" i="4" l="1"/>
  <c r="I33" i="4" l="1"/>
  <c r="O33" i="4" s="1"/>
  <c r="J33" i="4"/>
  <c r="P33" i="4" s="1"/>
  <c r="N33" i="4"/>
  <c r="K33" i="4" l="1"/>
  <c r="F34" i="4" s="1"/>
  <c r="H34" i="4" l="1"/>
  <c r="I34" i="4" l="1"/>
  <c r="O34" i="4" s="1"/>
  <c r="J34" i="4"/>
  <c r="P34" i="4" s="1"/>
  <c r="N34" i="4"/>
  <c r="K34" i="4" l="1"/>
  <c r="F35" i="4" s="1"/>
  <c r="H35" i="4" l="1"/>
  <c r="I35" i="4" s="1"/>
  <c r="O35" i="4" s="1"/>
  <c r="K35" i="4" l="1"/>
  <c r="F36" i="4" s="1"/>
  <c r="J35" i="4"/>
  <c r="P35" i="4" s="1"/>
  <c r="N35" i="4"/>
  <c r="H36" i="4" l="1"/>
  <c r="J36" i="4" s="1"/>
  <c r="P36" i="4" s="1"/>
  <c r="I36" i="4" l="1"/>
  <c r="O36" i="4" s="1"/>
  <c r="N36" i="4"/>
  <c r="K36" i="4" l="1"/>
  <c r="F37" i="4" s="1"/>
  <c r="H37" i="4" l="1"/>
  <c r="J37" i="4" l="1"/>
  <c r="P37" i="4" s="1"/>
  <c r="N37" i="4"/>
  <c r="I37" i="4"/>
  <c r="O37" i="4" s="1"/>
  <c r="K37" i="4" l="1"/>
  <c r="F38" i="4" l="1"/>
  <c r="H38" i="4" l="1"/>
  <c r="J38" i="4" l="1"/>
  <c r="P38" i="4" s="1"/>
  <c r="N38" i="4"/>
  <c r="I38" i="4"/>
  <c r="O38" i="4" s="1"/>
  <c r="K38" i="4" l="1"/>
  <c r="F39" i="4" l="1"/>
  <c r="H39" i="4" l="1"/>
  <c r="I39" i="4" s="1"/>
  <c r="O39" i="4" s="1"/>
  <c r="K39" i="4" l="1"/>
  <c r="J39" i="4"/>
  <c r="P39" i="4" s="1"/>
  <c r="N39" i="4"/>
  <c r="F40" i="4" l="1"/>
  <c r="H40" i="4" l="1"/>
  <c r="J40" i="4" l="1"/>
  <c r="P40" i="4" s="1"/>
  <c r="N40" i="4"/>
  <c r="I40" i="4"/>
  <c r="O40" i="4" s="1"/>
  <c r="K40" i="4" l="1"/>
  <c r="F41" i="4" l="1"/>
  <c r="H41" i="4" l="1"/>
  <c r="I41" i="4" l="1"/>
  <c r="O41" i="4" s="1"/>
  <c r="J41" i="4"/>
  <c r="P41" i="4" s="1"/>
  <c r="N41" i="4"/>
  <c r="K41" i="4" l="1"/>
  <c r="F42" i="4" s="1"/>
  <c r="H42" i="4" l="1"/>
  <c r="I42" i="4" l="1"/>
  <c r="O42" i="4" s="1"/>
  <c r="J42" i="4"/>
  <c r="P42" i="4" s="1"/>
  <c r="N42" i="4"/>
  <c r="K42" i="4" l="1"/>
  <c r="F43" i="4" s="1"/>
  <c r="H43" i="4" l="1"/>
  <c r="I43" i="4" s="1"/>
  <c r="O43" i="4" s="1"/>
  <c r="K43" i="4" l="1"/>
  <c r="F44" i="4" s="1"/>
  <c r="J43" i="4"/>
  <c r="P43" i="4" s="1"/>
  <c r="N43" i="4"/>
  <c r="H44" i="4" l="1"/>
  <c r="J44" i="4" s="1"/>
  <c r="P44" i="4" s="1"/>
  <c r="I44" i="4" l="1"/>
  <c r="O44" i="4" s="1"/>
  <c r="N44" i="4"/>
  <c r="K44" i="4" l="1"/>
  <c r="F45" i="4" s="1"/>
  <c r="H45" i="4" l="1"/>
  <c r="I45" i="4" l="1"/>
  <c r="O45" i="4" s="1"/>
  <c r="J45" i="4"/>
  <c r="P45" i="4" s="1"/>
  <c r="N45" i="4"/>
  <c r="K45" i="4" l="1"/>
  <c r="F46" i="4" s="1"/>
  <c r="H46" i="4" l="1"/>
  <c r="I46" i="4" s="1"/>
  <c r="O46" i="4" s="1"/>
  <c r="J46" i="4" l="1"/>
  <c r="P46" i="4" s="1"/>
  <c r="N46" i="4"/>
  <c r="K46" i="4"/>
  <c r="F47" i="4" s="1"/>
  <c r="H47" i="4" l="1"/>
  <c r="J47" i="4" s="1"/>
  <c r="P47" i="4" s="1"/>
  <c r="N47" i="4" l="1"/>
  <c r="I47" i="4"/>
  <c r="O47" i="4" s="1"/>
  <c r="K47" i="4" l="1"/>
  <c r="F48" i="4" s="1"/>
  <c r="H48" i="4" l="1"/>
  <c r="J48" i="4" l="1"/>
  <c r="P48" i="4" s="1"/>
  <c r="N48" i="4"/>
  <c r="I48" i="4"/>
  <c r="O48" i="4" s="1"/>
  <c r="K48" i="4" l="1"/>
  <c r="F49" i="4" s="1"/>
  <c r="H49" i="4" l="1"/>
  <c r="I49" i="4" l="1"/>
  <c r="O49" i="4" s="1"/>
  <c r="J49" i="4"/>
  <c r="P49" i="4" s="1"/>
  <c r="N49" i="4"/>
  <c r="K49" i="4" l="1"/>
  <c r="F50" i="4" s="1"/>
  <c r="H50" i="4" l="1"/>
  <c r="I50" i="4" l="1"/>
  <c r="O50" i="4" s="1"/>
  <c r="J50" i="4"/>
  <c r="P50" i="4" s="1"/>
  <c r="N50" i="4"/>
  <c r="K50" i="4" l="1"/>
  <c r="F51" i="4" s="1"/>
  <c r="H51" i="4" l="1"/>
  <c r="I51" i="4" s="1"/>
  <c r="O51" i="4" s="1"/>
  <c r="K51" i="4" l="1"/>
  <c r="F52" i="4" s="1"/>
  <c r="J51" i="4"/>
  <c r="P51" i="4" s="1"/>
  <c r="N51" i="4"/>
  <c r="H52" i="4" l="1"/>
  <c r="J52" i="4" s="1"/>
  <c r="P52" i="4" s="1"/>
  <c r="I52" i="4" l="1"/>
  <c r="O52" i="4" s="1"/>
  <c r="N52" i="4"/>
  <c r="K52" i="4" l="1"/>
  <c r="F53" i="4" s="1"/>
  <c r="H53" i="4" l="1"/>
  <c r="I53" i="4" s="1"/>
  <c r="O53" i="4" s="1"/>
  <c r="K53" i="4" l="1"/>
  <c r="F54" i="4" s="1"/>
  <c r="J53" i="4"/>
  <c r="P53" i="4" s="1"/>
  <c r="N53" i="4"/>
  <c r="H54" i="4" l="1"/>
  <c r="J54" i="4" s="1"/>
  <c r="P54" i="4" s="1"/>
  <c r="I54" i="4" l="1"/>
  <c r="O54" i="4" s="1"/>
  <c r="N54" i="4"/>
  <c r="K54" i="4" l="1"/>
  <c r="F55" i="4" s="1"/>
  <c r="H55" i="4" l="1"/>
  <c r="I55" i="4" l="1"/>
  <c r="O55" i="4" s="1"/>
  <c r="J55" i="4"/>
  <c r="P55" i="4" s="1"/>
  <c r="N55" i="4"/>
  <c r="K55" i="4" l="1"/>
  <c r="F56" i="4" s="1"/>
  <c r="H56" i="4" l="1"/>
  <c r="J56" i="4" l="1"/>
  <c r="P56" i="4" s="1"/>
  <c r="N56" i="4"/>
  <c r="I56" i="4"/>
  <c r="O56" i="4" s="1"/>
  <c r="K56" i="4" l="1"/>
  <c r="F57" i="4" s="1"/>
  <c r="H57" i="4" l="1"/>
  <c r="I57" i="4" l="1"/>
  <c r="O57" i="4" s="1"/>
  <c r="J57" i="4"/>
  <c r="P57" i="4" s="1"/>
  <c r="N57" i="4"/>
  <c r="K57" i="4" l="1"/>
  <c r="F58" i="4" s="1"/>
  <c r="H58" i="4" l="1"/>
  <c r="I58" i="4" l="1"/>
  <c r="O58" i="4" s="1"/>
  <c r="J58" i="4"/>
  <c r="P58" i="4" s="1"/>
  <c r="N58" i="4"/>
  <c r="K58" i="4" l="1"/>
  <c r="F59" i="4" s="1"/>
  <c r="H59" i="4" l="1"/>
  <c r="I59" i="4" s="1"/>
  <c r="O59" i="4" s="1"/>
  <c r="K59" i="4" l="1"/>
  <c r="F60" i="4" s="1"/>
  <c r="J59" i="4"/>
  <c r="P59" i="4" s="1"/>
  <c r="N59" i="4"/>
  <c r="H60" i="4" l="1"/>
  <c r="J60" i="4" s="1"/>
  <c r="P60" i="4" s="1"/>
  <c r="I60" i="4" l="1"/>
  <c r="O60" i="4" s="1"/>
  <c r="N60" i="4"/>
  <c r="K60" i="4" l="1"/>
  <c r="F61" i="4" s="1"/>
  <c r="H61" i="4" l="1"/>
  <c r="I61" i="4" s="1"/>
  <c r="O61" i="4" s="1"/>
  <c r="K61" i="4" l="1"/>
  <c r="F62" i="4" s="1"/>
  <c r="J61" i="4"/>
  <c r="P61" i="4" s="1"/>
  <c r="N61" i="4"/>
  <c r="H62" i="4" l="1"/>
  <c r="J62" i="4" s="1"/>
  <c r="P62" i="4" s="1"/>
  <c r="I62" i="4" l="1"/>
  <c r="O62" i="4" s="1"/>
  <c r="N62" i="4"/>
  <c r="K62" i="4" l="1"/>
  <c r="F63" i="4" s="1"/>
  <c r="H63" i="4" l="1"/>
  <c r="J63" i="4" l="1"/>
  <c r="P63" i="4" s="1"/>
  <c r="N63" i="4"/>
  <c r="I63" i="4"/>
  <c r="O63" i="4" s="1"/>
  <c r="K63" i="4" l="1"/>
  <c r="F64" i="4" s="1"/>
  <c r="H64" i="4" l="1"/>
  <c r="J64" i="4" l="1"/>
  <c r="P64" i="4" s="1"/>
  <c r="N64" i="4"/>
  <c r="I64" i="4"/>
  <c r="O64" i="4" s="1"/>
  <c r="K64" i="4" l="1"/>
  <c r="F65" i="4" s="1"/>
  <c r="H65" i="4" l="1"/>
  <c r="I65" i="4" s="1"/>
  <c r="O65" i="4" s="1"/>
  <c r="K65" i="4" l="1"/>
  <c r="J65" i="4"/>
  <c r="P65" i="4" s="1"/>
  <c r="N65" i="4"/>
  <c r="F66" i="4" l="1"/>
  <c r="H66" i="4" l="1"/>
  <c r="I66" i="4" l="1"/>
  <c r="O66" i="4" s="1"/>
  <c r="J66" i="4"/>
  <c r="P66" i="4" s="1"/>
  <c r="N66" i="4"/>
  <c r="K66" i="4" l="1"/>
  <c r="F67" i="4" l="1"/>
  <c r="H67" i="4" l="1"/>
  <c r="I67" i="4" s="1"/>
  <c r="O67" i="4" s="1"/>
  <c r="K67" i="4" l="1"/>
  <c r="J67" i="4"/>
  <c r="P67" i="4" s="1"/>
  <c r="N67" i="4"/>
  <c r="F68" i="4" l="1"/>
  <c r="H68" i="4" l="1"/>
  <c r="J68" i="4" l="1"/>
  <c r="P68" i="4" s="1"/>
  <c r="N68" i="4"/>
  <c r="I68" i="4"/>
  <c r="O68" i="4" s="1"/>
  <c r="K68" i="4" l="1"/>
  <c r="F69" i="4" l="1"/>
  <c r="H69" i="4" l="1"/>
  <c r="I69" i="4" s="1"/>
  <c r="O69" i="4" s="1"/>
  <c r="K69" i="4" l="1"/>
  <c r="F70" i="4" s="1"/>
  <c r="J69" i="4"/>
  <c r="P69" i="4" s="1"/>
  <c r="N69" i="4"/>
  <c r="H70" i="4" l="1"/>
  <c r="J70" i="4" s="1"/>
  <c r="P70" i="4" s="1"/>
  <c r="I70" i="4" l="1"/>
  <c r="O70" i="4" s="1"/>
  <c r="N70" i="4"/>
  <c r="K70" i="4" l="1"/>
  <c r="F71" i="4" s="1"/>
  <c r="H71" i="4" l="1"/>
  <c r="I71" i="4" l="1"/>
  <c r="O71" i="4" s="1"/>
  <c r="J71" i="4"/>
  <c r="P71" i="4" s="1"/>
  <c r="N71" i="4"/>
  <c r="K71" i="4" l="1"/>
  <c r="F72" i="4" s="1"/>
  <c r="H72" i="4" l="1"/>
  <c r="J72" i="4" l="1"/>
  <c r="P72" i="4" s="1"/>
  <c r="N72" i="4"/>
  <c r="I72" i="4"/>
  <c r="O72" i="4" s="1"/>
  <c r="K72" i="4" l="1"/>
  <c r="F73" i="4" s="1"/>
  <c r="H73" i="4" l="1"/>
  <c r="I73" i="4" l="1"/>
  <c r="O73" i="4" s="1"/>
  <c r="J73" i="4"/>
  <c r="P73" i="4" s="1"/>
  <c r="N73" i="4"/>
  <c r="K73" i="4" l="1"/>
  <c r="F74" i="4" s="1"/>
  <c r="H74" i="4" l="1"/>
  <c r="I74" i="4" l="1"/>
  <c r="O74" i="4" s="1"/>
  <c r="J74" i="4"/>
  <c r="P74" i="4" s="1"/>
  <c r="N74" i="4"/>
  <c r="K74" i="4" l="1"/>
  <c r="F75" i="4" s="1"/>
  <c r="H75" i="4" l="1"/>
  <c r="I75" i="4" s="1"/>
  <c r="O75" i="4" s="1"/>
  <c r="K75" i="4" l="1"/>
  <c r="F76" i="4" s="1"/>
  <c r="J75" i="4"/>
  <c r="P75" i="4" s="1"/>
  <c r="N75" i="4"/>
  <c r="H76" i="4" l="1"/>
  <c r="J76" i="4" s="1"/>
  <c r="P76" i="4" s="1"/>
  <c r="I76" i="4" l="1"/>
  <c r="O76" i="4" s="1"/>
  <c r="N76" i="4"/>
  <c r="K76" i="4" l="1"/>
  <c r="F77" i="4" s="1"/>
  <c r="H77" i="4" l="1"/>
  <c r="I77" i="4" s="1"/>
  <c r="O77" i="4" s="1"/>
  <c r="K77" i="4" l="1"/>
  <c r="F78" i="4" s="1"/>
  <c r="J77" i="4"/>
  <c r="P77" i="4" s="1"/>
  <c r="N77" i="4"/>
  <c r="H78" i="4" l="1"/>
  <c r="J78" i="4" s="1"/>
  <c r="P78" i="4" s="1"/>
  <c r="I78" i="4" l="1"/>
  <c r="O78" i="4" s="1"/>
  <c r="N78" i="4"/>
  <c r="K78" i="4" l="1"/>
  <c r="F79" i="4" s="1"/>
  <c r="H79" i="4" l="1"/>
  <c r="J79" i="4" l="1"/>
  <c r="P79" i="4" s="1"/>
  <c r="N79" i="4"/>
  <c r="I79" i="4"/>
  <c r="O79" i="4" s="1"/>
  <c r="K79" i="4" l="1"/>
  <c r="F80" i="4" s="1"/>
  <c r="H80" i="4" l="1"/>
  <c r="J80" i="4" l="1"/>
  <c r="P80" i="4" s="1"/>
  <c r="N80" i="4"/>
  <c r="I80" i="4"/>
  <c r="O80" i="4" s="1"/>
  <c r="K80" i="4" l="1"/>
  <c r="F81" i="4" s="1"/>
  <c r="H81" i="4" l="1"/>
  <c r="J81" i="4" l="1"/>
  <c r="P81" i="4" s="1"/>
  <c r="N81" i="4"/>
  <c r="I81" i="4"/>
  <c r="O81" i="4" s="1"/>
  <c r="K81" i="4" l="1"/>
  <c r="F82" i="4" s="1"/>
  <c r="H82" i="4" l="1"/>
  <c r="I82" i="4" s="1"/>
  <c r="O82" i="4" s="1"/>
  <c r="J82" i="4" l="1"/>
  <c r="P82" i="4" s="1"/>
  <c r="N82" i="4"/>
  <c r="K82" i="4"/>
  <c r="F83" i="4" s="1"/>
  <c r="H83" i="4" l="1"/>
  <c r="J83" i="4" s="1"/>
  <c r="P83" i="4" s="1"/>
  <c r="N83" i="4" l="1"/>
  <c r="I83" i="4"/>
  <c r="O83" i="4" s="1"/>
  <c r="K83" i="4" l="1"/>
  <c r="F84" i="4" s="1"/>
  <c r="H84" i="4" l="1"/>
  <c r="I84" i="4" s="1"/>
  <c r="O84" i="4" s="1"/>
  <c r="J84" i="4" l="1"/>
  <c r="P84" i="4" s="1"/>
  <c r="N84" i="4"/>
  <c r="K84" i="4"/>
  <c r="F85" i="4" s="1"/>
  <c r="H85" i="4" l="1"/>
  <c r="J85" i="4" s="1"/>
  <c r="P85" i="4" s="1"/>
  <c r="N85" i="4" l="1"/>
  <c r="I85" i="4"/>
  <c r="O85" i="4" s="1"/>
  <c r="K85" i="4" l="1"/>
  <c r="F86" i="4" s="1"/>
  <c r="H86" i="4" l="1"/>
  <c r="I86" i="4" s="1"/>
  <c r="O86" i="4" s="1"/>
  <c r="J86" i="4" l="1"/>
  <c r="P86" i="4" s="1"/>
  <c r="N86" i="4"/>
  <c r="K86" i="4"/>
  <c r="F87" i="4" s="1"/>
  <c r="H87" i="4" l="1"/>
  <c r="J87" i="4" s="1"/>
  <c r="P87" i="4" s="1"/>
  <c r="N87" i="4" l="1"/>
  <c r="I87" i="4"/>
  <c r="O87" i="4" s="1"/>
  <c r="K87" i="4" l="1"/>
  <c r="F88" i="4" s="1"/>
  <c r="H88" i="4" l="1"/>
  <c r="J88" i="4" l="1"/>
  <c r="P88" i="4" s="1"/>
  <c r="N88" i="4"/>
  <c r="I88" i="4"/>
  <c r="O88" i="4" s="1"/>
  <c r="K88" i="4" l="1"/>
  <c r="F89" i="4" s="1"/>
  <c r="H89" i="4" l="1"/>
  <c r="J89" i="4" l="1"/>
  <c r="P89" i="4" s="1"/>
  <c r="N89" i="4"/>
  <c r="I89" i="4"/>
  <c r="O89" i="4" s="1"/>
  <c r="K89" i="4" l="1"/>
  <c r="F90" i="4" s="1"/>
  <c r="H90" i="4" l="1"/>
  <c r="J90" i="4" l="1"/>
  <c r="P90" i="4" s="1"/>
  <c r="N90" i="4"/>
  <c r="I90" i="4"/>
  <c r="O90" i="4" s="1"/>
  <c r="K90" i="4" l="1"/>
  <c r="F91" i="4" s="1"/>
  <c r="H91" i="4" l="1"/>
  <c r="J91" i="4" l="1"/>
  <c r="P91" i="4" s="1"/>
  <c r="N91" i="4"/>
  <c r="I91" i="4"/>
  <c r="O91" i="4" s="1"/>
  <c r="K91" i="4" l="1"/>
  <c r="F92" i="4" s="1"/>
  <c r="H92" i="4" l="1"/>
  <c r="J92" i="4" l="1"/>
  <c r="P92" i="4" s="1"/>
  <c r="N92" i="4"/>
  <c r="I92" i="4"/>
  <c r="O92" i="4" s="1"/>
  <c r="K92" i="4" l="1"/>
  <c r="F93" i="4" s="1"/>
  <c r="H93" i="4" l="1"/>
  <c r="I93" i="4" s="1"/>
  <c r="O93" i="4" s="1"/>
  <c r="J93" i="4" l="1"/>
  <c r="P93" i="4" s="1"/>
  <c r="N93" i="4"/>
  <c r="K93" i="4"/>
  <c r="F94" i="4" s="1"/>
  <c r="H94" i="4" l="1"/>
  <c r="J94" i="4" s="1"/>
  <c r="P94" i="4" s="1"/>
  <c r="N94" i="4" l="1"/>
  <c r="I94" i="4"/>
  <c r="O94" i="4" s="1"/>
  <c r="K94" i="4" l="1"/>
  <c r="F95" i="4" s="1"/>
  <c r="H95" i="4" l="1"/>
  <c r="I95" i="4" s="1"/>
  <c r="O95" i="4" s="1"/>
  <c r="J95" i="4" l="1"/>
  <c r="P95" i="4" s="1"/>
  <c r="N95" i="4"/>
  <c r="K95" i="4"/>
  <c r="F96" i="4" s="1"/>
  <c r="H96" i="4" l="1"/>
  <c r="J96" i="4" s="1"/>
  <c r="P96" i="4" s="1"/>
  <c r="N96" i="4" l="1"/>
  <c r="I96" i="4"/>
  <c r="O96" i="4" s="1"/>
  <c r="K96" i="4" l="1"/>
  <c r="F97" i="4" l="1"/>
  <c r="H97" i="4" l="1"/>
  <c r="J97" i="4" l="1"/>
  <c r="P97" i="4" s="1"/>
  <c r="N97" i="4"/>
  <c r="I97" i="4"/>
  <c r="O97" i="4" s="1"/>
  <c r="K97" i="4" l="1"/>
  <c r="F98" i="4" l="1"/>
  <c r="H98" i="4" l="1"/>
  <c r="J98" i="4" l="1"/>
  <c r="P98" i="4" s="1"/>
  <c r="N98" i="4"/>
  <c r="I98" i="4"/>
  <c r="O98" i="4" s="1"/>
  <c r="K98" i="4" l="1"/>
  <c r="F99" i="4" l="1"/>
  <c r="H99" i="4" l="1"/>
  <c r="J99" i="4" l="1"/>
  <c r="P99" i="4" s="1"/>
  <c r="N99" i="4"/>
  <c r="I99" i="4"/>
  <c r="O99" i="4" s="1"/>
  <c r="K99" i="4" l="1"/>
  <c r="F100" i="4" l="1"/>
  <c r="H100" i="4" l="1"/>
  <c r="J100" i="4" l="1"/>
  <c r="P100" i="4" s="1"/>
  <c r="N100" i="4"/>
  <c r="I100" i="4"/>
  <c r="O100" i="4" s="1"/>
  <c r="K100" i="4" l="1"/>
  <c r="F101" i="4" s="1"/>
  <c r="H101" i="4" l="1"/>
  <c r="J101" i="4" l="1"/>
  <c r="P101" i="4" s="1"/>
  <c r="N101" i="4"/>
  <c r="I101" i="4"/>
  <c r="O101" i="4" s="1"/>
  <c r="K101" i="4" l="1"/>
  <c r="F102" i="4" s="1"/>
  <c r="H102" i="4" l="1"/>
  <c r="J102" i="4" l="1"/>
  <c r="P102" i="4" s="1"/>
  <c r="N102" i="4"/>
  <c r="I102" i="4"/>
  <c r="O102" i="4" s="1"/>
  <c r="K102" i="4" l="1"/>
  <c r="F103" i="4" s="1"/>
  <c r="H103" i="4" l="1"/>
  <c r="I103" i="4" s="1"/>
  <c r="O103" i="4" s="1"/>
  <c r="J103" i="4" l="1"/>
  <c r="P103" i="4" s="1"/>
  <c r="N103" i="4"/>
  <c r="K103" i="4"/>
  <c r="F104" i="4" s="1"/>
  <c r="H104" i="4" l="1"/>
  <c r="J104" i="4" s="1"/>
  <c r="P104" i="4" s="1"/>
  <c r="N104" i="4" l="1"/>
  <c r="I104" i="4"/>
  <c r="O104" i="4" s="1"/>
  <c r="K104" i="4" l="1"/>
  <c r="F105" i="4" s="1"/>
  <c r="H105" i="4" l="1"/>
  <c r="J105" i="4" l="1"/>
  <c r="P105" i="4" s="1"/>
  <c r="N105" i="4"/>
  <c r="I105" i="4"/>
  <c r="O105" i="4" s="1"/>
  <c r="K105" i="4" l="1"/>
  <c r="F106" i="4" s="1"/>
  <c r="H106" i="4" l="1"/>
  <c r="J106" i="4" l="1"/>
  <c r="P106" i="4" s="1"/>
  <c r="N106" i="4"/>
  <c r="I106" i="4"/>
  <c r="O106" i="4" s="1"/>
  <c r="K106" i="4" l="1"/>
  <c r="F107" i="4" s="1"/>
  <c r="H107" i="4" l="1"/>
  <c r="I107" i="4" s="1"/>
  <c r="O107" i="4" s="1"/>
  <c r="K107" i="4" l="1"/>
  <c r="F108" i="4" s="1"/>
  <c r="J107" i="4"/>
  <c r="P107" i="4" s="1"/>
  <c r="N107" i="4"/>
  <c r="H108" i="4" l="1"/>
  <c r="J108" i="4" s="1"/>
  <c r="P108" i="4" s="1"/>
  <c r="I108" i="4" l="1"/>
  <c r="O108" i="4" s="1"/>
  <c r="N108" i="4"/>
  <c r="K108" i="4" l="1"/>
  <c r="F109" i="4" s="1"/>
  <c r="H109" i="4" l="1"/>
  <c r="I109" i="4" s="1"/>
  <c r="O109" i="4" s="1"/>
  <c r="J109" i="4" l="1"/>
  <c r="P109" i="4" s="1"/>
  <c r="N109" i="4"/>
  <c r="K109" i="4"/>
  <c r="F110" i="4" s="1"/>
  <c r="H110" i="4" l="1"/>
  <c r="J110" i="4" s="1"/>
  <c r="P110" i="4" s="1"/>
  <c r="N110" i="4" l="1"/>
  <c r="I110" i="4"/>
  <c r="O110" i="4" s="1"/>
  <c r="K110" i="4" l="1"/>
  <c r="F111" i="4" s="1"/>
  <c r="H111" i="4" l="1"/>
  <c r="J111" i="4" l="1"/>
  <c r="P111" i="4" s="1"/>
  <c r="N111" i="4"/>
  <c r="I111" i="4"/>
  <c r="O111" i="4" s="1"/>
  <c r="K111" i="4" l="1"/>
  <c r="F112" i="4" s="1"/>
  <c r="H112" i="4" l="1"/>
  <c r="J112" i="4" l="1"/>
  <c r="P112" i="4" s="1"/>
  <c r="N112" i="4"/>
  <c r="I112" i="4"/>
  <c r="O112" i="4" s="1"/>
  <c r="K112" i="4" l="1"/>
  <c r="F113" i="4" s="1"/>
  <c r="H113" i="4" l="1"/>
  <c r="J113" i="4" l="1"/>
  <c r="P113" i="4" s="1"/>
  <c r="N113" i="4"/>
  <c r="I113" i="4"/>
  <c r="O113" i="4" s="1"/>
  <c r="K113" i="4" l="1"/>
  <c r="F114" i="4" s="1"/>
  <c r="H114" i="4" l="1"/>
  <c r="J114" i="4" l="1"/>
  <c r="P114" i="4" s="1"/>
  <c r="N114" i="4"/>
  <c r="I114" i="4"/>
  <c r="O114" i="4" s="1"/>
  <c r="K114" i="4" l="1"/>
  <c r="F115" i="4" s="1"/>
  <c r="H115" i="4" l="1"/>
  <c r="J115" i="4" l="1"/>
  <c r="P115" i="4" s="1"/>
  <c r="N115" i="4"/>
  <c r="I115" i="4"/>
  <c r="O115" i="4" s="1"/>
  <c r="K115" i="4" l="1"/>
  <c r="F116" i="4" s="1"/>
  <c r="H116" i="4" l="1"/>
  <c r="J116" i="4" l="1"/>
  <c r="P116" i="4" s="1"/>
  <c r="N116" i="4"/>
  <c r="I116" i="4"/>
  <c r="O116" i="4" s="1"/>
  <c r="K116" i="4" l="1"/>
  <c r="F117" i="4" s="1"/>
  <c r="H117" i="4" l="1"/>
  <c r="J117" i="4" l="1"/>
  <c r="P117" i="4" s="1"/>
  <c r="N117" i="4"/>
  <c r="I117" i="4"/>
  <c r="O117" i="4" s="1"/>
  <c r="K117" i="4" l="1"/>
  <c r="F118" i="4" s="1"/>
  <c r="H118" i="4" l="1"/>
  <c r="J118" i="4" l="1"/>
  <c r="P118" i="4" s="1"/>
  <c r="N118" i="4"/>
  <c r="I118" i="4"/>
  <c r="O118" i="4" s="1"/>
  <c r="K118" i="4" l="1"/>
  <c r="F119" i="4" s="1"/>
  <c r="H119" i="4" l="1"/>
  <c r="J119" i="4" l="1"/>
  <c r="P119" i="4" s="1"/>
  <c r="N119" i="4"/>
  <c r="I119" i="4"/>
  <c r="O119" i="4" s="1"/>
  <c r="K119" i="4" l="1"/>
  <c r="F120" i="4" s="1"/>
  <c r="H120" i="4" l="1"/>
  <c r="J120" i="4" l="1"/>
  <c r="P120" i="4" s="1"/>
  <c r="N120" i="4"/>
  <c r="I120" i="4"/>
  <c r="O120" i="4" s="1"/>
  <c r="K120" i="4" l="1"/>
  <c r="F121" i="4" s="1"/>
  <c r="H121" i="4" l="1"/>
  <c r="I121" i="4" s="1"/>
  <c r="O121" i="4" s="1"/>
  <c r="J121" i="4" l="1"/>
  <c r="P121" i="4" s="1"/>
  <c r="N121" i="4"/>
  <c r="K121" i="4"/>
  <c r="F122" i="4" s="1"/>
  <c r="H122" i="4" l="1"/>
  <c r="J122" i="4" s="1"/>
  <c r="P122" i="4" s="1"/>
  <c r="N122" i="4" l="1"/>
  <c r="I122" i="4"/>
  <c r="O122" i="4" s="1"/>
  <c r="K122" i="4" l="1"/>
  <c r="F123" i="4" s="1"/>
  <c r="H123" i="4" l="1"/>
  <c r="J123" i="4" l="1"/>
  <c r="P123" i="4" s="1"/>
  <c r="N123" i="4"/>
  <c r="I123" i="4"/>
  <c r="O123" i="4" s="1"/>
  <c r="K123" i="4" l="1"/>
  <c r="F124" i="4" s="1"/>
  <c r="H124" i="4" l="1"/>
  <c r="J124" i="4" l="1"/>
  <c r="P124" i="4" s="1"/>
  <c r="N124" i="4"/>
  <c r="I124" i="4"/>
  <c r="O124" i="4" s="1"/>
  <c r="K124" i="4" l="1"/>
  <c r="F125" i="4" s="1"/>
  <c r="H125" i="4" l="1"/>
  <c r="J125" i="4" l="1"/>
  <c r="P125" i="4" s="1"/>
  <c r="N125" i="4"/>
  <c r="I125" i="4"/>
  <c r="O125" i="4" s="1"/>
  <c r="K125" i="4" l="1"/>
  <c r="F126" i="4" s="1"/>
  <c r="H126" i="4" l="1"/>
  <c r="J126" i="4" l="1"/>
  <c r="P126" i="4" s="1"/>
  <c r="N126" i="4"/>
  <c r="I126" i="4"/>
  <c r="O126" i="4" s="1"/>
  <c r="K126" i="4" l="1"/>
  <c r="F127" i="4" l="1"/>
  <c r="H127" i="4" l="1"/>
  <c r="J127" i="4" l="1"/>
  <c r="P127" i="4" s="1"/>
  <c r="N127" i="4"/>
  <c r="I127" i="4"/>
  <c r="O127" i="4" s="1"/>
  <c r="K127" i="4" l="1"/>
  <c r="F128" i="4" l="1"/>
  <c r="H128" i="4" l="1"/>
  <c r="J128" i="4" l="1"/>
  <c r="P128" i="4" s="1"/>
  <c r="N128" i="4"/>
  <c r="I128" i="4"/>
  <c r="O128" i="4" s="1"/>
  <c r="K128" i="4" l="1"/>
  <c r="F129" i="4" l="1"/>
  <c r="H129" i="4" l="1"/>
  <c r="I129" i="4" s="1"/>
  <c r="O129" i="4" s="1"/>
  <c r="J129" i="4" l="1"/>
  <c r="P129" i="4" s="1"/>
  <c r="N129" i="4"/>
  <c r="K129" i="4"/>
  <c r="F130" i="4" l="1"/>
  <c r="H130" i="4" l="1"/>
  <c r="J130" i="4" l="1"/>
  <c r="P130" i="4" s="1"/>
  <c r="N130" i="4"/>
  <c r="I130" i="4"/>
  <c r="O130" i="4" s="1"/>
  <c r="K130" i="4" l="1"/>
  <c r="F131" i="4" s="1"/>
  <c r="H131" i="4" l="1"/>
  <c r="I131" i="4" s="1"/>
  <c r="O131" i="4" s="1"/>
  <c r="J131" i="4" l="1"/>
  <c r="P131" i="4" s="1"/>
  <c r="N131" i="4"/>
  <c r="K131" i="4"/>
  <c r="F132" i="4" s="1"/>
  <c r="H132" i="4" l="1"/>
  <c r="J132" i="4" s="1"/>
  <c r="P132" i="4" s="1"/>
  <c r="I132" i="4" l="1"/>
  <c r="O132" i="4" s="1"/>
  <c r="N132" i="4"/>
  <c r="K132" i="4" l="1"/>
  <c r="F133" i="4" s="1"/>
  <c r="H133" i="4" l="1"/>
  <c r="J133" i="4" l="1"/>
  <c r="P133" i="4" s="1"/>
  <c r="N133" i="4"/>
  <c r="I133" i="4"/>
  <c r="O133" i="4" s="1"/>
  <c r="K133" i="4" l="1"/>
  <c r="F134" i="4" s="1"/>
  <c r="H134" i="4" l="1"/>
  <c r="I134" i="4" s="1"/>
  <c r="O134" i="4" s="1"/>
  <c r="K134" i="4" l="1"/>
  <c r="F135" i="4" s="1"/>
  <c r="J134" i="4"/>
  <c r="P134" i="4" s="1"/>
  <c r="N134" i="4"/>
  <c r="H135" i="4" l="1"/>
  <c r="J135" i="4" s="1"/>
  <c r="P135" i="4" s="1"/>
  <c r="I135" i="4" l="1"/>
  <c r="O135" i="4" s="1"/>
  <c r="N135" i="4"/>
  <c r="K135" i="4" l="1"/>
  <c r="F136" i="4" s="1"/>
  <c r="H136" i="4" l="1"/>
  <c r="J136" i="4" l="1"/>
  <c r="P136" i="4" s="1"/>
  <c r="N136" i="4"/>
  <c r="I136" i="4"/>
  <c r="O136" i="4" s="1"/>
  <c r="K136" i="4" l="1"/>
  <c r="F137" i="4" s="1"/>
  <c r="H137" i="4" l="1"/>
  <c r="I137" i="4" s="1"/>
  <c r="O137" i="4" s="1"/>
  <c r="J137" i="4" l="1"/>
  <c r="P137" i="4" s="1"/>
  <c r="N137" i="4"/>
  <c r="K137" i="4"/>
  <c r="F138" i="4" s="1"/>
  <c r="H138" i="4" l="1"/>
  <c r="J138" i="4" s="1"/>
  <c r="P138" i="4" s="1"/>
  <c r="N138" i="4" l="1"/>
  <c r="I138" i="4"/>
  <c r="O138" i="4" s="1"/>
  <c r="K138" i="4" l="1"/>
  <c r="F139" i="4" s="1"/>
  <c r="H139" i="4" l="1"/>
  <c r="J139" i="4" l="1"/>
  <c r="P139" i="4" s="1"/>
  <c r="N139" i="4"/>
  <c r="I139" i="4"/>
  <c r="O139" i="4" s="1"/>
  <c r="K139" i="4" l="1"/>
  <c r="F140" i="4" s="1"/>
  <c r="H140" i="4" l="1"/>
  <c r="J140" i="4" l="1"/>
  <c r="P140" i="4" s="1"/>
  <c r="N140" i="4"/>
  <c r="I140" i="4"/>
  <c r="O140" i="4" s="1"/>
  <c r="K140" i="4" l="1"/>
  <c r="F141" i="4" s="1"/>
  <c r="H141" i="4" l="1"/>
  <c r="J141" i="4" l="1"/>
  <c r="P141" i="4" s="1"/>
  <c r="N141" i="4"/>
  <c r="I141" i="4"/>
  <c r="O141" i="4" s="1"/>
  <c r="K141" i="4" l="1"/>
  <c r="F142" i="4" s="1"/>
  <c r="H142" i="4" l="1"/>
  <c r="J142" i="4" l="1"/>
  <c r="P142" i="4" s="1"/>
  <c r="N142" i="4"/>
  <c r="I142" i="4"/>
  <c r="O142" i="4" l="1"/>
  <c r="K142" i="4"/>
  <c r="F143" i="4" s="1"/>
  <c r="H143" i="4" l="1"/>
  <c r="J143" i="4" l="1"/>
  <c r="P143" i="4" s="1"/>
  <c r="N143" i="4"/>
  <c r="I143" i="4"/>
  <c r="O143" i="4" s="1"/>
  <c r="K143" i="4" l="1"/>
  <c r="F144" i="4" s="1"/>
  <c r="H144" i="4" l="1"/>
  <c r="J144" i="4" l="1"/>
  <c r="P144" i="4" s="1"/>
  <c r="N144" i="4"/>
  <c r="I144" i="4"/>
  <c r="O144" i="4" s="1"/>
  <c r="K144" i="4" l="1"/>
  <c r="F145" i="4" s="1"/>
  <c r="H145" i="4" l="1"/>
  <c r="J145" i="4" l="1"/>
  <c r="P145" i="4" s="1"/>
  <c r="N145" i="4"/>
  <c r="I145" i="4"/>
  <c r="O145" i="4" s="1"/>
  <c r="K145" i="4" l="1"/>
  <c r="F146" i="4" s="1"/>
  <c r="H146" i="4" l="1"/>
  <c r="J146" i="4" l="1"/>
  <c r="P146" i="4" s="1"/>
  <c r="N146" i="4"/>
  <c r="I146" i="4"/>
  <c r="O146" i="4" s="1"/>
  <c r="K146" i="4" l="1"/>
  <c r="F147" i="4" s="1"/>
  <c r="H147" i="4" l="1"/>
  <c r="J147" i="4" l="1"/>
  <c r="P147" i="4" s="1"/>
  <c r="N147" i="4"/>
  <c r="I147" i="4"/>
  <c r="O147" i="4" s="1"/>
  <c r="K147" i="4" l="1"/>
  <c r="F148" i="4" s="1"/>
  <c r="H148" i="4" l="1"/>
  <c r="J148" i="4" l="1"/>
  <c r="P148" i="4" s="1"/>
  <c r="N148" i="4"/>
  <c r="I148" i="4"/>
  <c r="O148" i="4" s="1"/>
  <c r="K148" i="4" l="1"/>
  <c r="F149" i="4" s="1"/>
  <c r="H149" i="4" l="1"/>
  <c r="J149" i="4" l="1"/>
  <c r="P149" i="4" s="1"/>
  <c r="N149" i="4"/>
  <c r="I149" i="4"/>
  <c r="O149" i="4" s="1"/>
  <c r="K149" i="4" l="1"/>
  <c r="F150" i="4" s="1"/>
  <c r="H150" i="4" l="1"/>
  <c r="J150" i="4" l="1"/>
  <c r="P150" i="4" s="1"/>
  <c r="N150" i="4"/>
  <c r="I150" i="4"/>
  <c r="O150" i="4" s="1"/>
  <c r="K150" i="4" l="1"/>
  <c r="F151" i="4" s="1"/>
  <c r="H151" i="4" l="1"/>
  <c r="J151" i="4" l="1"/>
  <c r="P151" i="4" s="1"/>
  <c r="N151" i="4"/>
  <c r="I151" i="4"/>
  <c r="O151" i="4" s="1"/>
  <c r="K151" i="4" l="1"/>
  <c r="F152" i="4" s="1"/>
  <c r="H152" i="4" l="1"/>
  <c r="I152" i="4" l="1"/>
  <c r="O152" i="4" s="1"/>
  <c r="J152" i="4"/>
  <c r="P152" i="4" s="1"/>
  <c r="N152" i="4"/>
  <c r="K152" i="4" l="1"/>
  <c r="F153" i="4" s="1"/>
  <c r="H153" i="4" l="1"/>
  <c r="J153" i="4" l="1"/>
  <c r="P153" i="4" s="1"/>
  <c r="N153" i="4"/>
  <c r="I153" i="4"/>
  <c r="O153" i="4" s="1"/>
  <c r="K153" i="4" l="1"/>
  <c r="F154" i="4" s="1"/>
  <c r="H154" i="4" l="1"/>
  <c r="J154" i="4" l="1"/>
  <c r="P154" i="4" s="1"/>
  <c r="N154" i="4"/>
  <c r="I154" i="4"/>
  <c r="O154" i="4" s="1"/>
  <c r="K154" i="4" l="1"/>
  <c r="F155" i="4" s="1"/>
  <c r="H155" i="4" l="1"/>
  <c r="J155" i="4" l="1"/>
  <c r="P155" i="4" s="1"/>
  <c r="N155" i="4"/>
  <c r="I155" i="4"/>
  <c r="O155" i="4" s="1"/>
  <c r="K155" i="4" l="1"/>
  <c r="F156" i="4" s="1"/>
  <c r="H156" i="4" l="1"/>
  <c r="J156" i="4" l="1"/>
  <c r="P156" i="4" s="1"/>
  <c r="N156" i="4"/>
  <c r="I156" i="4"/>
  <c r="O156" i="4" s="1"/>
  <c r="K156" i="4" l="1"/>
  <c r="F157" i="4" s="1"/>
  <c r="H157" i="4" l="1"/>
  <c r="J157" i="4" l="1"/>
  <c r="P157" i="4" s="1"/>
  <c r="N157" i="4"/>
  <c r="I157" i="4"/>
  <c r="O157" i="4" s="1"/>
  <c r="K157" i="4" l="1"/>
  <c r="F158" i="4" l="1"/>
  <c r="H158" i="4" l="1"/>
  <c r="J158" i="4" l="1"/>
  <c r="P158" i="4" s="1"/>
  <c r="N158" i="4"/>
  <c r="I158" i="4"/>
  <c r="O158" i="4" s="1"/>
  <c r="K158" i="4" l="1"/>
  <c r="F159" i="4" l="1"/>
  <c r="H159" i="4" l="1"/>
  <c r="J159" i="4" l="1"/>
  <c r="P159" i="4" s="1"/>
  <c r="N159" i="4"/>
  <c r="I159" i="4"/>
  <c r="O159" i="4" s="1"/>
  <c r="K159" i="4" l="1"/>
  <c r="F160" i="4" l="1"/>
  <c r="H160" i="4" l="1"/>
  <c r="J160" i="4" l="1"/>
  <c r="P160" i="4" s="1"/>
  <c r="N160" i="4"/>
  <c r="I160" i="4"/>
  <c r="O160" i="4" s="1"/>
  <c r="K160" i="4" l="1"/>
  <c r="F161" i="4" l="1"/>
  <c r="H161" i="4" l="1"/>
  <c r="J161" i="4" l="1"/>
  <c r="P161" i="4" s="1"/>
  <c r="N161" i="4"/>
  <c r="I161" i="4"/>
  <c r="O161" i="4" s="1"/>
  <c r="K161" i="4" l="1"/>
  <c r="F162" i="4" s="1"/>
  <c r="H162" i="4" l="1"/>
  <c r="J162" i="4" l="1"/>
  <c r="P162" i="4" s="1"/>
  <c r="N162" i="4"/>
  <c r="I162" i="4"/>
  <c r="O162" i="4" s="1"/>
  <c r="K162" i="4" l="1"/>
  <c r="F163" i="4" s="1"/>
  <c r="H163" i="4" l="1"/>
  <c r="J163" i="4" l="1"/>
  <c r="P163" i="4" s="1"/>
  <c r="N163" i="4"/>
  <c r="I163" i="4"/>
  <c r="O163" i="4" s="1"/>
  <c r="K163" i="4" l="1"/>
  <c r="F164" i="4" s="1"/>
  <c r="H164" i="4" l="1"/>
  <c r="J164" i="4" l="1"/>
  <c r="P164" i="4" s="1"/>
  <c r="N164" i="4"/>
  <c r="I164" i="4"/>
  <c r="O164" i="4" s="1"/>
  <c r="K164" i="4" l="1"/>
  <c r="F165" i="4" s="1"/>
  <c r="H165" i="4" l="1"/>
  <c r="J165" i="4" l="1"/>
  <c r="P165" i="4" s="1"/>
  <c r="N165" i="4"/>
  <c r="I165" i="4"/>
  <c r="O165" i="4" s="1"/>
  <c r="K165" i="4" l="1"/>
  <c r="F166" i="4" s="1"/>
  <c r="H166" i="4" l="1"/>
  <c r="J166" i="4" l="1"/>
  <c r="P166" i="4" s="1"/>
  <c r="N166" i="4"/>
  <c r="I166" i="4"/>
  <c r="O166" i="4" s="1"/>
  <c r="K166" i="4" l="1"/>
  <c r="F167" i="4" s="1"/>
  <c r="H167" i="4" l="1"/>
  <c r="J167" i="4" l="1"/>
  <c r="P167" i="4" s="1"/>
  <c r="N167" i="4"/>
  <c r="I167" i="4"/>
  <c r="O167" i="4" s="1"/>
  <c r="K167" i="4" l="1"/>
  <c r="F168" i="4" s="1"/>
  <c r="H168" i="4" l="1"/>
  <c r="J168" i="4" l="1"/>
  <c r="P168" i="4" s="1"/>
  <c r="N168" i="4"/>
  <c r="I168" i="4"/>
  <c r="O168" i="4" s="1"/>
  <c r="K168" i="4" l="1"/>
  <c r="F169" i="4" s="1"/>
  <c r="H169" i="4" l="1"/>
  <c r="I169" i="4" s="1"/>
  <c r="O169" i="4" s="1"/>
  <c r="J169" i="4" l="1"/>
  <c r="P169" i="4" s="1"/>
  <c r="N169" i="4"/>
  <c r="K169" i="4"/>
  <c r="F170" i="4" s="1"/>
  <c r="H170" i="4" l="1"/>
  <c r="J170" i="4" s="1"/>
  <c r="P170" i="4" s="1"/>
  <c r="N170" i="4" l="1"/>
  <c r="I170" i="4"/>
  <c r="O170" i="4" s="1"/>
  <c r="K170" i="4" l="1"/>
  <c r="F171" i="4" s="1"/>
  <c r="H171" i="4" l="1"/>
  <c r="J171" i="4" l="1"/>
  <c r="P171" i="4" s="1"/>
  <c r="N171" i="4"/>
  <c r="I171" i="4"/>
  <c r="O171" i="4" s="1"/>
  <c r="K171" i="4" l="1"/>
  <c r="F172" i="4" s="1"/>
  <c r="H172" i="4" l="1"/>
  <c r="J172" i="4" l="1"/>
  <c r="P172" i="4" s="1"/>
  <c r="N172" i="4"/>
  <c r="I172" i="4"/>
  <c r="O172" i="4" s="1"/>
  <c r="K172" i="4" l="1"/>
  <c r="F173" i="4" s="1"/>
  <c r="H173" i="4" l="1"/>
  <c r="I173" i="4" s="1"/>
  <c r="O173" i="4" s="1"/>
  <c r="J173" i="4" l="1"/>
  <c r="P173" i="4" s="1"/>
  <c r="N173" i="4"/>
  <c r="K173" i="4"/>
  <c r="F174" i="4" s="1"/>
  <c r="H174" i="4" l="1"/>
  <c r="J174" i="4" s="1"/>
  <c r="P174" i="4" s="1"/>
  <c r="N174" i="4" l="1"/>
  <c r="I174" i="4"/>
  <c r="O174" i="4" s="1"/>
  <c r="K174" i="4" l="1"/>
  <c r="F175" i="4" s="1"/>
  <c r="H175" i="4" l="1"/>
  <c r="I175" i="4" s="1"/>
  <c r="O175" i="4" s="1"/>
  <c r="J175" i="4" l="1"/>
  <c r="P175" i="4" s="1"/>
  <c r="N175" i="4"/>
  <c r="K175" i="4"/>
  <c r="F176" i="4" s="1"/>
  <c r="H176" i="4" l="1"/>
  <c r="J176" i="4" s="1"/>
  <c r="P176" i="4" s="1"/>
  <c r="N176" i="4" l="1"/>
  <c r="I176" i="4"/>
  <c r="O176" i="4" s="1"/>
  <c r="K176" i="4" l="1"/>
  <c r="F177" i="4" s="1"/>
  <c r="H177" i="4" l="1"/>
  <c r="J177" i="4" l="1"/>
  <c r="P177" i="4" s="1"/>
  <c r="N177" i="4"/>
  <c r="I177" i="4"/>
  <c r="O177" i="4" s="1"/>
  <c r="K177" i="4" l="1"/>
  <c r="F178" i="4" s="1"/>
  <c r="H178" i="4" l="1"/>
  <c r="J178" i="4" l="1"/>
  <c r="P178" i="4" s="1"/>
  <c r="N178" i="4"/>
  <c r="I178" i="4"/>
  <c r="O178" i="4" s="1"/>
  <c r="K178" i="4" l="1"/>
  <c r="F179" i="4" s="1"/>
  <c r="H179" i="4" l="1"/>
  <c r="J179" i="4" l="1"/>
  <c r="P179" i="4" s="1"/>
  <c r="N179" i="4"/>
  <c r="I179" i="4"/>
  <c r="O179" i="4" s="1"/>
  <c r="K179" i="4" l="1"/>
  <c r="F180" i="4" s="1"/>
  <c r="H180" i="4" l="1"/>
  <c r="J180" i="4" l="1"/>
  <c r="P180" i="4" s="1"/>
  <c r="N180" i="4"/>
  <c r="I180" i="4"/>
  <c r="O180" i="4" s="1"/>
  <c r="K180" i="4" l="1"/>
  <c r="F181" i="4" s="1"/>
  <c r="H181" i="4" l="1"/>
  <c r="I181" i="4" s="1"/>
  <c r="O181" i="4" s="1"/>
  <c r="J181" i="4" l="1"/>
  <c r="P181" i="4" s="1"/>
  <c r="N181" i="4"/>
  <c r="K181" i="4"/>
  <c r="F182" i="4" s="1"/>
  <c r="H182" i="4" l="1"/>
  <c r="J182" i="4" s="1"/>
  <c r="P182" i="4" s="1"/>
  <c r="N182" i="4" l="1"/>
  <c r="I182" i="4"/>
  <c r="O182" i="4" s="1"/>
  <c r="K182" i="4" l="1"/>
  <c r="F183" i="4" s="1"/>
  <c r="H183" i="4" l="1"/>
  <c r="J183" i="4" l="1"/>
  <c r="P183" i="4" s="1"/>
  <c r="N183" i="4"/>
  <c r="I183" i="4"/>
  <c r="O183" i="4" s="1"/>
  <c r="K183" i="4" l="1"/>
  <c r="F184" i="4" s="1"/>
  <c r="H184" i="4" l="1"/>
  <c r="J184" i="4" l="1"/>
  <c r="P184" i="4" s="1"/>
  <c r="N184" i="4"/>
  <c r="I184" i="4"/>
  <c r="O184" i="4" s="1"/>
  <c r="K184" i="4" l="1"/>
  <c r="F185" i="4" s="1"/>
  <c r="H185" i="4" l="1"/>
  <c r="J185" i="4" l="1"/>
  <c r="P185" i="4" s="1"/>
  <c r="N185" i="4"/>
  <c r="I185" i="4"/>
  <c r="O185" i="4" s="1"/>
  <c r="K185" i="4" l="1"/>
  <c r="F186" i="4" s="1"/>
  <c r="H186" i="4" l="1"/>
  <c r="J186" i="4" l="1"/>
  <c r="P186" i="4" s="1"/>
  <c r="N186" i="4"/>
  <c r="I186" i="4"/>
  <c r="O186" i="4" s="1"/>
  <c r="K186" i="4" l="1"/>
  <c r="F187" i="4" s="1"/>
  <c r="H187" i="4" l="1"/>
  <c r="I187" i="4" s="1"/>
  <c r="O187" i="4" s="1"/>
  <c r="J187" i="4" l="1"/>
  <c r="P187" i="4" s="1"/>
  <c r="N187" i="4"/>
  <c r="K187" i="4"/>
  <c r="F188" i="4" l="1"/>
  <c r="H188" i="4" l="1"/>
  <c r="J188" i="4" l="1"/>
  <c r="P188" i="4" s="1"/>
  <c r="N188" i="4"/>
  <c r="I188" i="4"/>
  <c r="O188" i="4" s="1"/>
  <c r="K188" i="4" l="1"/>
  <c r="F189" i="4" l="1"/>
  <c r="H189" i="4" l="1"/>
  <c r="I189" i="4" s="1"/>
  <c r="O189" i="4" s="1"/>
  <c r="J189" i="4" l="1"/>
  <c r="P189" i="4" s="1"/>
  <c r="N189" i="4"/>
  <c r="K189" i="4"/>
  <c r="F190" i="4" l="1"/>
  <c r="H190" i="4" l="1"/>
  <c r="J190" i="4" l="1"/>
  <c r="P190" i="4" s="1"/>
  <c r="N190" i="4"/>
  <c r="I190" i="4"/>
  <c r="O190" i="4" s="1"/>
  <c r="K190" i="4" l="1"/>
  <c r="F191" i="4" l="1"/>
  <c r="H191" i="4" l="1"/>
  <c r="I191" i="4" s="1"/>
  <c r="O191" i="4" s="1"/>
  <c r="J191" i="4" l="1"/>
  <c r="P191" i="4" s="1"/>
  <c r="N191" i="4"/>
  <c r="K191" i="4"/>
  <c r="F192" i="4" s="1"/>
  <c r="H192" i="4" l="1"/>
  <c r="J192" i="4" s="1"/>
  <c r="P192" i="4" s="1"/>
  <c r="N192" i="4"/>
  <c r="I192" i="4" l="1"/>
  <c r="O192" i="4" l="1"/>
  <c r="K192" i="4"/>
  <c r="F193" i="4" s="1"/>
  <c r="H193" i="4" l="1"/>
  <c r="J193" i="4" l="1"/>
  <c r="P193" i="4" s="1"/>
  <c r="N193" i="4"/>
  <c r="I193" i="4"/>
  <c r="O193" i="4" s="1"/>
  <c r="K193" i="4" l="1"/>
  <c r="F194" i="4" s="1"/>
  <c r="H194" i="4" l="1"/>
  <c r="J194" i="4" l="1"/>
  <c r="P194" i="4" s="1"/>
  <c r="N194" i="4"/>
  <c r="I194" i="4"/>
  <c r="O194" i="4" s="1"/>
  <c r="K194" i="4" l="1"/>
  <c r="F195" i="4" s="1"/>
  <c r="H195" i="4" l="1"/>
  <c r="J195" i="4" l="1"/>
  <c r="P195" i="4" s="1"/>
  <c r="N195" i="4"/>
  <c r="I195" i="4"/>
  <c r="O195" i="4" s="1"/>
  <c r="K195" i="4" l="1"/>
  <c r="F196" i="4" s="1"/>
  <c r="H196" i="4" l="1"/>
  <c r="J196" i="4" l="1"/>
  <c r="P196" i="4" s="1"/>
  <c r="N196" i="4"/>
  <c r="I196" i="4"/>
  <c r="O196" i="4" s="1"/>
  <c r="K196" i="4" l="1"/>
  <c r="F197" i="4" s="1"/>
  <c r="H197" i="4" l="1"/>
  <c r="J197" i="4" l="1"/>
  <c r="P197" i="4" s="1"/>
  <c r="N197" i="4"/>
  <c r="I197" i="4"/>
  <c r="O197" i="4" s="1"/>
  <c r="K197" i="4"/>
  <c r="F198" i="4" s="1"/>
  <c r="H198" i="4" l="1"/>
  <c r="J198" i="4" s="1"/>
  <c r="P198" i="4" s="1"/>
  <c r="N198" i="4" l="1"/>
  <c r="I198" i="4"/>
  <c r="O198" i="4" s="1"/>
  <c r="K198" i="4" l="1"/>
  <c r="F199" i="4" s="1"/>
  <c r="H199" i="4" l="1"/>
  <c r="I199" i="4" l="1"/>
  <c r="O199" i="4" s="1"/>
  <c r="J199" i="4"/>
  <c r="P199" i="4" s="1"/>
  <c r="N199" i="4"/>
  <c r="K199" i="4" l="1"/>
  <c r="F200" i="4" s="1"/>
  <c r="H200" i="4" l="1"/>
  <c r="I200" i="4" s="1"/>
  <c r="O200" i="4" s="1"/>
  <c r="K200" i="4" l="1"/>
  <c r="F201" i="4" s="1"/>
  <c r="J200" i="4"/>
  <c r="P200" i="4" s="1"/>
  <c r="N200" i="4"/>
  <c r="H201" i="4" l="1"/>
  <c r="J201" i="4" s="1"/>
  <c r="P201" i="4" s="1"/>
  <c r="I201" i="4" l="1"/>
  <c r="O201" i="4" s="1"/>
  <c r="N201" i="4"/>
  <c r="K201" i="4" l="1"/>
  <c r="F202" i="4" s="1"/>
  <c r="H202" i="4" l="1"/>
  <c r="J202" i="4" l="1"/>
  <c r="P202" i="4" s="1"/>
  <c r="N202" i="4"/>
  <c r="I202" i="4"/>
  <c r="O202" i="4" s="1"/>
  <c r="K202" i="4" l="1"/>
  <c r="F203" i="4" s="1"/>
  <c r="H203" i="4" l="1"/>
  <c r="I203" i="4" s="1"/>
  <c r="O203" i="4" s="1"/>
  <c r="K203" i="4" l="1"/>
  <c r="F204" i="4" s="1"/>
  <c r="J203" i="4"/>
  <c r="P203" i="4" s="1"/>
  <c r="N203" i="4"/>
  <c r="H204" i="4" l="1"/>
  <c r="J204" i="4" s="1"/>
  <c r="P204" i="4" s="1"/>
  <c r="I204" i="4" l="1"/>
  <c r="O204" i="4" s="1"/>
  <c r="N204" i="4"/>
  <c r="K204" i="4" l="1"/>
  <c r="F205" i="4" s="1"/>
  <c r="H205" i="4" l="1"/>
  <c r="I205" i="4" l="1"/>
  <c r="O205" i="4" s="1"/>
  <c r="J205" i="4"/>
  <c r="P205" i="4" s="1"/>
  <c r="N205" i="4"/>
  <c r="K205" i="4" l="1"/>
  <c r="F206" i="4" s="1"/>
  <c r="H206" i="4" l="1"/>
  <c r="J206" i="4" l="1"/>
  <c r="P206" i="4" s="1"/>
  <c r="N206" i="4"/>
  <c r="I206" i="4"/>
  <c r="O206" i="4" s="1"/>
  <c r="K206" i="4" l="1"/>
  <c r="F207" i="4" s="1"/>
  <c r="H207" i="4" l="1"/>
  <c r="I207" i="4" l="1"/>
  <c r="O207" i="4" s="1"/>
  <c r="J207" i="4"/>
  <c r="P207" i="4" s="1"/>
  <c r="N207" i="4"/>
  <c r="K207" i="4" l="1"/>
  <c r="F208" i="4" s="1"/>
  <c r="H208" i="4" l="1"/>
  <c r="I208" i="4" l="1"/>
  <c r="O208" i="4" s="1"/>
  <c r="J208" i="4"/>
  <c r="P208" i="4" s="1"/>
  <c r="N208" i="4"/>
  <c r="K208" i="4" l="1"/>
  <c r="F209" i="4" s="1"/>
  <c r="H209" i="4" l="1"/>
  <c r="I209" i="4" s="1"/>
  <c r="O209" i="4" s="1"/>
  <c r="K209" i="4" l="1"/>
  <c r="F210" i="4" s="1"/>
  <c r="J209" i="4"/>
  <c r="P209" i="4" s="1"/>
  <c r="N209" i="4"/>
  <c r="I210" i="4" l="1"/>
  <c r="O210" i="4" s="1"/>
  <c r="H210" i="4"/>
  <c r="J210" i="4" s="1"/>
  <c r="P210" i="4" s="1"/>
  <c r="K210" i="4" l="1"/>
  <c r="F211" i="4" s="1"/>
  <c r="N210" i="4"/>
  <c r="H211" i="4" l="1"/>
  <c r="J211" i="4" s="1"/>
  <c r="P211" i="4" s="1"/>
  <c r="I211" i="4"/>
  <c r="O211" i="4" s="1"/>
  <c r="K211" i="4" l="1"/>
  <c r="F212" i="4" s="1"/>
  <c r="N211" i="4"/>
  <c r="H212" i="4" l="1"/>
  <c r="J212" i="4" s="1"/>
  <c r="P212" i="4" s="1"/>
  <c r="I212" i="4" l="1"/>
  <c r="O212" i="4" s="1"/>
  <c r="N212" i="4"/>
  <c r="K212" i="4" l="1"/>
  <c r="F213" i="4" s="1"/>
  <c r="H213" i="4" l="1"/>
  <c r="I213" i="4" l="1"/>
  <c r="O213" i="4" s="1"/>
  <c r="J213" i="4"/>
  <c r="P213" i="4" s="1"/>
  <c r="N213" i="4"/>
  <c r="K213" i="4" l="1"/>
  <c r="F214" i="4" s="1"/>
  <c r="H214" i="4" l="1"/>
  <c r="J214" i="4" l="1"/>
  <c r="P214" i="4" s="1"/>
  <c r="N214" i="4"/>
  <c r="I214" i="4"/>
  <c r="O214" i="4" s="1"/>
  <c r="K214" i="4" l="1"/>
  <c r="F215" i="4" s="1"/>
  <c r="H215" i="4" l="1"/>
  <c r="I215" i="4" l="1"/>
  <c r="O215" i="4" s="1"/>
  <c r="J215" i="4"/>
  <c r="P215" i="4" s="1"/>
  <c r="N215" i="4"/>
  <c r="K215" i="4" l="1"/>
  <c r="F216" i="4" s="1"/>
  <c r="H216" i="4" l="1"/>
  <c r="I216" i="4" s="1"/>
  <c r="O216" i="4" s="1"/>
  <c r="K216" i="4" l="1"/>
  <c r="F217" i="4" s="1"/>
  <c r="J216" i="4"/>
  <c r="P216" i="4" s="1"/>
  <c r="N216" i="4"/>
  <c r="H217" i="4" l="1"/>
  <c r="J217" i="4" s="1"/>
  <c r="P217" i="4" s="1"/>
  <c r="I217" i="4" l="1"/>
  <c r="O217" i="4" s="1"/>
  <c r="N217" i="4"/>
  <c r="K217" i="4" l="1"/>
  <c r="F218" i="4" s="1"/>
  <c r="H218" i="4" l="1"/>
  <c r="J218" i="4" l="1"/>
  <c r="P218" i="4" s="1"/>
  <c r="N218" i="4"/>
  <c r="I218" i="4"/>
  <c r="O218" i="4" s="1"/>
  <c r="K218" i="4" l="1"/>
  <c r="F219" i="4" l="1"/>
  <c r="H219" i="4" l="1"/>
  <c r="I219" i="4" s="1"/>
  <c r="O219" i="4" s="1"/>
  <c r="K219" i="4" l="1"/>
  <c r="J219" i="4"/>
  <c r="P219" i="4" s="1"/>
  <c r="N219" i="4"/>
  <c r="F220" i="4" l="1"/>
  <c r="H220" i="4" l="1"/>
  <c r="J220" i="4" l="1"/>
  <c r="P220" i="4" s="1"/>
  <c r="N220" i="4"/>
  <c r="I220" i="4"/>
  <c r="O220" i="4" s="1"/>
  <c r="K220" i="4" l="1"/>
  <c r="F221" i="4" l="1"/>
  <c r="H221" i="4" l="1"/>
  <c r="I221" i="4" l="1"/>
  <c r="O221" i="4" s="1"/>
  <c r="J221" i="4"/>
  <c r="P221" i="4" s="1"/>
  <c r="N221" i="4"/>
  <c r="K221" i="4" l="1"/>
  <c r="F222" i="4" l="1"/>
  <c r="H222" i="4" l="1"/>
  <c r="J222" i="4" l="1"/>
  <c r="P222" i="4" s="1"/>
  <c r="N222" i="4"/>
  <c r="I222" i="4"/>
  <c r="O222" i="4" s="1"/>
  <c r="K222" i="4" l="1"/>
  <c r="F223" i="4" s="1"/>
  <c r="H223" i="4" l="1"/>
  <c r="I223" i="4" l="1"/>
  <c r="O223" i="4" s="1"/>
  <c r="J223" i="4"/>
  <c r="P223" i="4" s="1"/>
  <c r="N223" i="4"/>
  <c r="K223" i="4" l="1"/>
  <c r="F224" i="4" s="1"/>
  <c r="H224" i="4" l="1"/>
  <c r="I224" i="4" l="1"/>
  <c r="O224" i="4" s="1"/>
  <c r="J224" i="4"/>
  <c r="P224" i="4" s="1"/>
  <c r="N224" i="4"/>
  <c r="K224" i="4" l="1"/>
  <c r="F225" i="4" s="1"/>
  <c r="H225" i="4" l="1"/>
  <c r="I225" i="4" s="1"/>
  <c r="O225" i="4" s="1"/>
  <c r="K225" i="4" l="1"/>
  <c r="F226" i="4" s="1"/>
  <c r="J225" i="4"/>
  <c r="P225" i="4" s="1"/>
  <c r="N225" i="4"/>
  <c r="H226" i="4" l="1"/>
  <c r="J226" i="4" s="1"/>
  <c r="P226" i="4" s="1"/>
  <c r="I226" i="4" l="1"/>
  <c r="O226" i="4" s="1"/>
  <c r="N226" i="4"/>
  <c r="K226" i="4" l="1"/>
  <c r="F227" i="4" s="1"/>
  <c r="H227" i="4" l="1"/>
  <c r="I227" i="4" s="1"/>
  <c r="O227" i="4" s="1"/>
  <c r="K227" i="4" l="1"/>
  <c r="F228" i="4" s="1"/>
  <c r="J227" i="4"/>
  <c r="P227" i="4" s="1"/>
  <c r="N227" i="4"/>
  <c r="H228" i="4" l="1"/>
  <c r="J228" i="4" s="1"/>
  <c r="P228" i="4" s="1"/>
  <c r="I228" i="4" l="1"/>
  <c r="O228" i="4" s="1"/>
  <c r="N228" i="4"/>
  <c r="K228" i="4" l="1"/>
  <c r="F229" i="4" s="1"/>
  <c r="H229" i="4" l="1"/>
  <c r="I229" i="4" l="1"/>
  <c r="O229" i="4" s="1"/>
  <c r="J229" i="4"/>
  <c r="P229" i="4" s="1"/>
  <c r="N229" i="4"/>
  <c r="K229" i="4" l="1"/>
  <c r="F230" i="4" s="1"/>
  <c r="H230" i="4" l="1"/>
  <c r="J230" i="4" l="1"/>
  <c r="P230" i="4" s="1"/>
  <c r="N230" i="4"/>
  <c r="I230" i="4"/>
  <c r="O230" i="4" l="1"/>
  <c r="K230" i="4"/>
  <c r="F231" i="4" s="1"/>
  <c r="H231" i="4" l="1"/>
  <c r="I231" i="4"/>
  <c r="K231" i="4" s="1"/>
  <c r="F232" i="4" s="1"/>
  <c r="O231" i="4"/>
  <c r="H232" i="4" l="1"/>
  <c r="J232" i="4" s="1"/>
  <c r="I232" i="4"/>
  <c r="K232" i="4" s="1"/>
  <c r="F233" i="4" s="1"/>
  <c r="O232" i="4"/>
  <c r="J231" i="4"/>
  <c r="P231" i="4" s="1"/>
  <c r="P232" i="4" s="1"/>
  <c r="N231" i="4"/>
  <c r="N232" i="4" s="1"/>
  <c r="H233" i="4" l="1"/>
  <c r="J233" i="4" s="1"/>
  <c r="I233" i="4"/>
  <c r="K233" i="4"/>
  <c r="F234" i="4" s="1"/>
  <c r="O233" i="4"/>
  <c r="N233" i="4"/>
  <c r="P233" i="4"/>
  <c r="H234" i="4" l="1"/>
  <c r="J234" i="4" s="1"/>
  <c r="P234" i="4" s="1"/>
  <c r="I234" i="4" l="1"/>
  <c r="O234" i="4" s="1"/>
  <c r="N234" i="4"/>
  <c r="K234" i="4"/>
  <c r="F235" i="4" s="1"/>
  <c r="H235" i="4" l="1"/>
  <c r="J235" i="4" s="1"/>
  <c r="P235" i="4" s="1"/>
  <c r="I235" i="4"/>
  <c r="O235" i="4" s="1"/>
  <c r="K235" i="4"/>
  <c r="F236" i="4" s="1"/>
  <c r="N235" i="4"/>
  <c r="N236" i="4" l="1"/>
  <c r="I236" i="4"/>
  <c r="O236" i="4" s="1"/>
  <c r="H236" i="4"/>
  <c r="J236" i="4" s="1"/>
  <c r="P236" i="4"/>
  <c r="K236" i="4" l="1"/>
  <c r="F237" i="4" s="1"/>
  <c r="H237" i="4" l="1"/>
  <c r="I237" i="4"/>
  <c r="O237" i="4" s="1"/>
  <c r="K237" i="4" l="1"/>
  <c r="F238" i="4" s="1"/>
  <c r="J237" i="4"/>
  <c r="P237" i="4" s="1"/>
  <c r="N237" i="4"/>
  <c r="H238" i="4" l="1"/>
  <c r="J238" i="4" s="1"/>
  <c r="P238" i="4" s="1"/>
  <c r="I238" i="4" l="1"/>
  <c r="O238" i="4" s="1"/>
  <c r="K238" i="4"/>
  <c r="F239" i="4" s="1"/>
  <c r="N238" i="4"/>
  <c r="H239" i="4" l="1"/>
  <c r="J239" i="4" s="1"/>
  <c r="P239" i="4" s="1"/>
  <c r="I239" i="4"/>
  <c r="O239" i="4" s="1"/>
  <c r="K239" i="4" l="1"/>
  <c r="F240" i="4" s="1"/>
  <c r="N239" i="4"/>
  <c r="H240" i="4" l="1"/>
  <c r="J240" i="4" s="1"/>
  <c r="P240" i="4" s="1"/>
  <c r="I240" i="4"/>
  <c r="O240" i="4" s="1"/>
  <c r="K240" i="4" l="1"/>
  <c r="F241" i="4" s="1"/>
  <c r="N240" i="4"/>
  <c r="H241" i="4" l="1"/>
  <c r="J241" i="4" s="1"/>
  <c r="P241" i="4" s="1"/>
  <c r="I241" i="4"/>
  <c r="O241" i="4" s="1"/>
  <c r="K241" i="4"/>
  <c r="F242" i="4" s="1"/>
  <c r="H242" i="4" l="1"/>
  <c r="J242" i="4" s="1"/>
  <c r="P242" i="4" s="1"/>
  <c r="N241" i="4"/>
  <c r="N242" i="4" l="1"/>
  <c r="I242" i="4"/>
  <c r="O242" i="4" s="1"/>
  <c r="K242" i="4" l="1"/>
  <c r="F243" i="4" s="1"/>
  <c r="H243" i="4" l="1"/>
  <c r="I243" i="4" s="1"/>
  <c r="O243" i="4" l="1"/>
  <c r="K243" i="4"/>
  <c r="F244" i="4" s="1"/>
  <c r="J243" i="4"/>
  <c r="P243" i="4" s="1"/>
  <c r="N243" i="4"/>
  <c r="H244" i="4" l="1"/>
  <c r="J244" i="4" s="1"/>
  <c r="P244" i="4" s="1"/>
  <c r="N244" i="4" l="1"/>
  <c r="I244" i="4"/>
  <c r="O244" i="4" s="1"/>
  <c r="K244" i="4" l="1"/>
  <c r="F245" i="4" s="1"/>
  <c r="H245" i="4" l="1"/>
  <c r="I245" i="4" l="1"/>
  <c r="O245" i="4" s="1"/>
  <c r="J245" i="4"/>
  <c r="P245" i="4" s="1"/>
  <c r="N245" i="4"/>
  <c r="K245" i="4" l="1"/>
  <c r="F246" i="4" s="1"/>
  <c r="H246" i="4" l="1"/>
  <c r="J246" i="4" l="1"/>
  <c r="P246" i="4" s="1"/>
  <c r="N246" i="4"/>
  <c r="I246" i="4"/>
  <c r="O246" i="4" s="1"/>
  <c r="K246" i="4" l="1"/>
  <c r="F247" i="4" s="1"/>
  <c r="H247" i="4" l="1"/>
  <c r="K247" i="4" s="1"/>
  <c r="F248" i="4" s="1"/>
  <c r="I247" i="4"/>
  <c r="O247" i="4" s="1"/>
  <c r="H248" i="4" l="1"/>
  <c r="J248" i="4" s="1"/>
  <c r="I248" i="4"/>
  <c r="O248" i="4" s="1"/>
  <c r="J247" i="4"/>
  <c r="P247" i="4" s="1"/>
  <c r="P248" i="4" s="1"/>
  <c r="N247" i="4"/>
  <c r="N248" i="4" s="1"/>
  <c r="K248" i="4" l="1"/>
  <c r="F249" i="4" s="1"/>
  <c r="H249" i="4" l="1"/>
  <c r="I249" i="4" s="1"/>
  <c r="O249" i="4" s="1"/>
  <c r="K249" i="4" l="1"/>
  <c r="J249" i="4"/>
  <c r="P249" i="4" s="1"/>
  <c r="N249" i="4"/>
  <c r="F250" i="4" l="1"/>
  <c r="H250" i="4" l="1"/>
  <c r="J250" i="4" l="1"/>
  <c r="P250" i="4" s="1"/>
  <c r="N250" i="4"/>
  <c r="I250" i="4"/>
  <c r="O250" i="4" s="1"/>
  <c r="K250" i="4" l="1"/>
  <c r="F251" i="4" l="1"/>
  <c r="H251" i="4" l="1"/>
  <c r="I251" i="4" s="1"/>
  <c r="O251" i="4" s="1"/>
  <c r="K251" i="4" l="1"/>
  <c r="J251" i="4"/>
  <c r="P251" i="4" s="1"/>
  <c r="N251" i="4"/>
  <c r="F252" i="4" l="1"/>
  <c r="H252" i="4" l="1"/>
  <c r="J252" i="4" l="1"/>
  <c r="P252" i="4" s="1"/>
  <c r="N252" i="4"/>
  <c r="I252" i="4"/>
  <c r="O252" i="4" s="1"/>
  <c r="K252" i="4" l="1"/>
  <c r="F253" i="4" l="1"/>
  <c r="H253" i="4" l="1"/>
  <c r="I253" i="4"/>
  <c r="O253" i="4" s="1"/>
  <c r="K253" i="4" l="1"/>
  <c r="F254" i="4" s="1"/>
  <c r="J253" i="4"/>
  <c r="P253" i="4" s="1"/>
  <c r="N253" i="4"/>
  <c r="H254" i="4" l="1"/>
  <c r="J254" i="4" s="1"/>
  <c r="P254" i="4" s="1"/>
  <c r="I254" i="4" l="1"/>
  <c r="O254" i="4" s="1"/>
  <c r="N254" i="4"/>
  <c r="K254" i="4" l="1"/>
  <c r="F255" i="4" s="1"/>
  <c r="H255" i="4" l="1"/>
  <c r="I255" i="4"/>
  <c r="O255" i="4" s="1"/>
  <c r="K255" i="4" l="1"/>
  <c r="F256" i="4" s="1"/>
  <c r="J255" i="4"/>
  <c r="P255" i="4" s="1"/>
  <c r="N255" i="4"/>
  <c r="H256" i="4" l="1"/>
  <c r="J256" i="4" s="1"/>
  <c r="P256" i="4" s="1"/>
  <c r="I256" i="4" l="1"/>
  <c r="N256" i="4"/>
  <c r="O256" i="4" l="1"/>
  <c r="K256" i="4"/>
  <c r="F257" i="4" s="1"/>
  <c r="H257" i="4" l="1"/>
  <c r="I257" i="4" s="1"/>
  <c r="O257" i="4" s="1"/>
  <c r="K257" i="4" l="1"/>
  <c r="F258" i="4" s="1"/>
  <c r="J257" i="4"/>
  <c r="P257" i="4" s="1"/>
  <c r="N257" i="4"/>
  <c r="H258" i="4" l="1"/>
  <c r="J258" i="4" s="1"/>
  <c r="P258" i="4" s="1"/>
  <c r="I258" i="4" l="1"/>
  <c r="O258" i="4" s="1"/>
  <c r="N258" i="4"/>
  <c r="K258" i="4" l="1"/>
  <c r="F259" i="4" s="1"/>
  <c r="H259" i="4" l="1"/>
  <c r="I259" i="4" s="1"/>
  <c r="O259" i="4" s="1"/>
  <c r="K259" i="4" l="1"/>
  <c r="F260" i="4" s="1"/>
  <c r="J259" i="4"/>
  <c r="P259" i="4" s="1"/>
  <c r="N259" i="4"/>
  <c r="H260" i="4" l="1"/>
  <c r="J260" i="4" s="1"/>
  <c r="P260" i="4" s="1"/>
  <c r="I260" i="4" l="1"/>
  <c r="O260" i="4" s="1"/>
  <c r="N260" i="4"/>
  <c r="K260" i="4" l="1"/>
  <c r="F261" i="4" s="1"/>
  <c r="H261" i="4" l="1"/>
  <c r="I261" i="4" l="1"/>
  <c r="O261" i="4" s="1"/>
  <c r="J261" i="4"/>
  <c r="P261" i="4" s="1"/>
  <c r="N261" i="4"/>
  <c r="K261" i="4" l="1"/>
  <c r="F262" i="4" s="1"/>
  <c r="H262" i="4" l="1"/>
  <c r="J262" i="4" l="1"/>
  <c r="P262" i="4" s="1"/>
  <c r="N262" i="4"/>
  <c r="I262" i="4"/>
  <c r="O262" i="4" s="1"/>
  <c r="K262" i="4" l="1"/>
  <c r="F263" i="4" s="1"/>
  <c r="H263" i="4" l="1"/>
  <c r="K263" i="4" l="1"/>
  <c r="F264" i="4" s="1"/>
  <c r="I263" i="4"/>
  <c r="O263" i="4" s="1"/>
  <c r="J263" i="4"/>
  <c r="P263" i="4" s="1"/>
  <c r="N263" i="4"/>
  <c r="H264" i="4" l="1"/>
  <c r="J264" i="4" s="1"/>
  <c r="P264" i="4" s="1"/>
  <c r="N264" i="4"/>
  <c r="I264" i="4" l="1"/>
  <c r="O264" i="4" s="1"/>
  <c r="K264" i="4" l="1"/>
  <c r="F265" i="4" s="1"/>
  <c r="H265" i="4" l="1"/>
  <c r="I265" i="4" s="1"/>
  <c r="O265" i="4" s="1"/>
  <c r="K265" i="4" l="1"/>
  <c r="F266" i="4" s="1"/>
  <c r="J265" i="4"/>
  <c r="P265" i="4" s="1"/>
  <c r="N265" i="4"/>
  <c r="H266" i="4" l="1"/>
  <c r="J266" i="4" s="1"/>
  <c r="P266" i="4" s="1"/>
  <c r="I266" i="4" l="1"/>
  <c r="O266" i="4" s="1"/>
  <c r="N266" i="4"/>
  <c r="K266" i="4" l="1"/>
  <c r="F267" i="4" s="1"/>
  <c r="H267" i="4" l="1"/>
  <c r="I267" i="4" s="1"/>
  <c r="O267" i="4" s="1"/>
  <c r="K267" i="4" l="1"/>
  <c r="F268" i="4" s="1"/>
  <c r="J267" i="4"/>
  <c r="P267" i="4" s="1"/>
  <c r="N267" i="4"/>
  <c r="H268" i="4" l="1"/>
  <c r="J268" i="4" s="1"/>
  <c r="P268" i="4" s="1"/>
  <c r="I268" i="4" l="1"/>
  <c r="O268" i="4" s="1"/>
  <c r="N268" i="4"/>
  <c r="K268" i="4" l="1"/>
  <c r="F269" i="4" s="1"/>
  <c r="H269" i="4" l="1"/>
  <c r="I269" i="4" l="1"/>
  <c r="O269" i="4" s="1"/>
  <c r="J269" i="4"/>
  <c r="P269" i="4" s="1"/>
  <c r="N269" i="4"/>
  <c r="K269" i="4" l="1"/>
  <c r="F270" i="4" s="1"/>
  <c r="H270" i="4" l="1"/>
  <c r="J270" i="4" l="1"/>
  <c r="P270" i="4" s="1"/>
  <c r="N270" i="4"/>
  <c r="I270" i="4"/>
  <c r="O270" i="4" s="1"/>
  <c r="K270" i="4" l="1"/>
  <c r="F271" i="4" s="1"/>
  <c r="H271" i="4" l="1"/>
  <c r="I271" i="4" l="1"/>
  <c r="O271" i="4" s="1"/>
  <c r="J271" i="4"/>
  <c r="P271" i="4" s="1"/>
  <c r="N271" i="4"/>
  <c r="K271" i="4" l="1"/>
  <c r="F272" i="4" s="1"/>
  <c r="H272" i="4" l="1"/>
  <c r="I272" i="4" s="1"/>
  <c r="O272" i="4" s="1"/>
  <c r="K272" i="4" l="1"/>
  <c r="F273" i="4" s="1"/>
  <c r="J272" i="4"/>
  <c r="P272" i="4" s="1"/>
  <c r="N272" i="4"/>
  <c r="H273" i="4" l="1"/>
  <c r="J273" i="4" s="1"/>
  <c r="P273" i="4" s="1"/>
  <c r="I273" i="4" l="1"/>
  <c r="O273" i="4" s="1"/>
  <c r="N273" i="4"/>
  <c r="K273" i="4" l="1"/>
  <c r="F274" i="4" s="1"/>
  <c r="H274" i="4" l="1"/>
  <c r="J274" i="4" l="1"/>
  <c r="P274" i="4" s="1"/>
  <c r="N274" i="4"/>
  <c r="I274" i="4"/>
  <c r="O274" i="4" s="1"/>
  <c r="K274" i="4" l="1"/>
  <c r="F275" i="4" s="1"/>
  <c r="H275" i="4" l="1"/>
  <c r="I275" i="4" s="1"/>
  <c r="O275" i="4" s="1"/>
  <c r="J275" i="4" l="1"/>
  <c r="P275" i="4" s="1"/>
  <c r="N275" i="4"/>
  <c r="K275" i="4"/>
  <c r="F276" i="4" s="1"/>
  <c r="H276" i="4" l="1"/>
  <c r="J276" i="4" s="1"/>
  <c r="P276" i="4" s="1"/>
  <c r="N276" i="4" l="1"/>
  <c r="I276" i="4"/>
  <c r="O276" i="4" s="1"/>
  <c r="K276" i="4" l="1"/>
  <c r="F277" i="4" s="1"/>
  <c r="H277" i="4" l="1"/>
  <c r="J277" i="4" l="1"/>
  <c r="P277" i="4" s="1"/>
  <c r="N277" i="4"/>
  <c r="I277" i="4"/>
  <c r="O277" i="4" s="1"/>
  <c r="K277" i="4" l="1"/>
  <c r="F278" i="4" s="1"/>
  <c r="H278" i="4" l="1"/>
  <c r="J278" i="4" l="1"/>
  <c r="P278" i="4" s="1"/>
  <c r="N278" i="4"/>
  <c r="I278" i="4"/>
  <c r="O278" i="4" s="1"/>
  <c r="K278" i="4" l="1"/>
  <c r="F279" i="4" s="1"/>
  <c r="H279" i="4" l="1"/>
  <c r="I279" i="4" s="1"/>
  <c r="O279" i="4" s="1"/>
  <c r="J279" i="4" l="1"/>
  <c r="P279" i="4" s="1"/>
  <c r="N279" i="4"/>
  <c r="K279" i="4"/>
  <c r="F280" i="4" l="1"/>
  <c r="H280" i="4" l="1"/>
  <c r="J280" i="4" l="1"/>
  <c r="P280" i="4" s="1"/>
  <c r="N280" i="4"/>
  <c r="I280" i="4"/>
  <c r="O280" i="4" s="1"/>
  <c r="K280" i="4" l="1"/>
  <c r="F281" i="4" l="1"/>
  <c r="H281" i="4" l="1"/>
  <c r="J281" i="4" l="1"/>
  <c r="P281" i="4" s="1"/>
  <c r="N281" i="4"/>
  <c r="I281" i="4"/>
  <c r="O281" i="4" s="1"/>
  <c r="K281" i="4" l="1"/>
  <c r="F282" i="4" l="1"/>
  <c r="H282" i="4" l="1"/>
  <c r="J282" i="4" l="1"/>
  <c r="P282" i="4" s="1"/>
  <c r="N282" i="4"/>
  <c r="I282" i="4"/>
  <c r="O282" i="4" s="1"/>
  <c r="K282" i="4" l="1"/>
  <c r="F283" i="4" l="1"/>
  <c r="H283" i="4" l="1"/>
  <c r="J283" i="4" l="1"/>
  <c r="P283" i="4" s="1"/>
  <c r="N283" i="4"/>
  <c r="I283" i="4"/>
  <c r="O283" i="4" s="1"/>
  <c r="K283" i="4" l="1"/>
  <c r="F284" i="4" s="1"/>
  <c r="H284" i="4" l="1"/>
  <c r="J284" i="4" l="1"/>
  <c r="P284" i="4" s="1"/>
  <c r="N284" i="4"/>
  <c r="I284" i="4"/>
  <c r="O284" i="4" s="1"/>
  <c r="K284" i="4" l="1"/>
  <c r="F285" i="4" s="1"/>
  <c r="H285" i="4" l="1"/>
  <c r="I285" i="4" s="1"/>
  <c r="O285" i="4" s="1"/>
  <c r="J285" i="4" l="1"/>
  <c r="P285" i="4" s="1"/>
  <c r="N285" i="4"/>
  <c r="K285" i="4"/>
  <c r="F286" i="4" s="1"/>
  <c r="H286" i="4" l="1"/>
  <c r="J286" i="4" s="1"/>
  <c r="P286" i="4" s="1"/>
  <c r="N286" i="4" l="1"/>
  <c r="I286" i="4"/>
  <c r="O286" i="4" s="1"/>
  <c r="K286" i="4" l="1"/>
  <c r="F287" i="4" s="1"/>
  <c r="H287" i="4" l="1"/>
  <c r="J287" i="4" l="1"/>
  <c r="P287" i="4" s="1"/>
  <c r="N287" i="4"/>
  <c r="I287" i="4"/>
  <c r="O287" i="4" s="1"/>
  <c r="K287" i="4" l="1"/>
  <c r="F288" i="4" s="1"/>
  <c r="H288" i="4" l="1"/>
  <c r="J288" i="4" l="1"/>
  <c r="P288" i="4" s="1"/>
  <c r="N288" i="4"/>
  <c r="I288" i="4"/>
  <c r="O288" i="4" s="1"/>
  <c r="K288" i="4" l="1"/>
  <c r="F289" i="4" s="1"/>
  <c r="H289" i="4" l="1"/>
  <c r="I289" i="4" l="1"/>
  <c r="O289" i="4" s="1"/>
  <c r="J289" i="4"/>
  <c r="P289" i="4" s="1"/>
  <c r="N289" i="4"/>
  <c r="K289" i="4" l="1"/>
  <c r="F290" i="4" s="1"/>
  <c r="H290" i="4" l="1"/>
  <c r="J290" i="4" l="1"/>
  <c r="P290" i="4" s="1"/>
  <c r="N290" i="4"/>
  <c r="I290" i="4"/>
  <c r="O290" i="4" s="1"/>
  <c r="K290" i="4" l="1"/>
  <c r="F291" i="4" s="1"/>
  <c r="H291" i="4" l="1"/>
  <c r="I291" i="4" s="1"/>
  <c r="O291" i="4" s="1"/>
  <c r="K291" i="4" l="1"/>
  <c r="F292" i="4" s="1"/>
  <c r="J291" i="4"/>
  <c r="P291" i="4" s="1"/>
  <c r="N291" i="4"/>
  <c r="H292" i="4" l="1"/>
  <c r="J292" i="4" s="1"/>
  <c r="P292" i="4" s="1"/>
  <c r="I292" i="4" l="1"/>
  <c r="O292" i="4" s="1"/>
  <c r="N292" i="4"/>
  <c r="K292" i="4" l="1"/>
  <c r="F293" i="4" s="1"/>
  <c r="H293" i="4" l="1"/>
  <c r="I293" i="4" l="1"/>
  <c r="O293" i="4" s="1"/>
  <c r="J293" i="4"/>
  <c r="P293" i="4" s="1"/>
  <c r="N293" i="4"/>
  <c r="K293" i="4" l="1"/>
  <c r="F294" i="4" s="1"/>
  <c r="H294" i="4" l="1"/>
  <c r="J294" i="4" l="1"/>
  <c r="P294" i="4" s="1"/>
  <c r="N294" i="4"/>
  <c r="I294" i="4"/>
  <c r="O294" i="4" s="1"/>
  <c r="K294" i="4" l="1"/>
  <c r="F295" i="4" s="1"/>
  <c r="H295" i="4" l="1"/>
  <c r="I295" i="4" l="1"/>
  <c r="O295" i="4" s="1"/>
  <c r="J295" i="4"/>
  <c r="P295" i="4" s="1"/>
  <c r="N295" i="4"/>
  <c r="K295" i="4" l="1"/>
  <c r="F296" i="4" s="1"/>
  <c r="H296" i="4" l="1"/>
  <c r="I296" i="4" l="1"/>
  <c r="O296" i="4" s="1"/>
  <c r="J296" i="4"/>
  <c r="P296" i="4" s="1"/>
  <c r="N296" i="4"/>
  <c r="K296" i="4" l="1"/>
  <c r="F297" i="4" s="1"/>
  <c r="H297" i="4" l="1"/>
  <c r="I297" i="4" s="1"/>
  <c r="O297" i="4" s="1"/>
  <c r="K297" i="4" l="1"/>
  <c r="F298" i="4" s="1"/>
  <c r="J297" i="4"/>
  <c r="P297" i="4" s="1"/>
  <c r="N297" i="4"/>
  <c r="H298" i="4" l="1"/>
  <c r="J298" i="4" s="1"/>
  <c r="P298" i="4" s="1"/>
  <c r="I298" i="4" l="1"/>
  <c r="O298" i="4" s="1"/>
  <c r="N298" i="4"/>
  <c r="K298" i="4" l="1"/>
  <c r="F299" i="4" s="1"/>
  <c r="H299" i="4" l="1"/>
  <c r="I299" i="4" s="1"/>
  <c r="O299" i="4" s="1"/>
  <c r="K299" i="4" l="1"/>
  <c r="F300" i="4" s="1"/>
  <c r="J299" i="4"/>
  <c r="P299" i="4" s="1"/>
  <c r="N299" i="4"/>
  <c r="H300" i="4" l="1"/>
  <c r="J300" i="4" s="1"/>
  <c r="P300" i="4" s="1"/>
  <c r="I300" i="4" l="1"/>
  <c r="O300" i="4" s="1"/>
  <c r="N300" i="4"/>
  <c r="K300" i="4" l="1"/>
  <c r="F301" i="4" s="1"/>
  <c r="H301" i="4" l="1"/>
  <c r="I301" i="4"/>
  <c r="O301" i="4" s="1"/>
  <c r="K301" i="4" l="1"/>
  <c r="F302" i="4" s="1"/>
  <c r="J301" i="4"/>
  <c r="P301" i="4" s="1"/>
  <c r="N301" i="4"/>
  <c r="H302" i="4" l="1"/>
  <c r="J302" i="4" s="1"/>
  <c r="P302" i="4" s="1"/>
  <c r="I302" i="4" l="1"/>
  <c r="O302" i="4" s="1"/>
  <c r="N302" i="4"/>
  <c r="K302" i="4" l="1"/>
  <c r="F303" i="4" s="1"/>
  <c r="H303" i="4" l="1"/>
  <c r="I303" i="4" s="1"/>
  <c r="O303" i="4" s="1"/>
  <c r="K303" i="4" l="1"/>
  <c r="F304" i="4" s="1"/>
  <c r="J303" i="4"/>
  <c r="P303" i="4" s="1"/>
  <c r="N303" i="4"/>
  <c r="H304" i="4" l="1"/>
  <c r="J304" i="4" s="1"/>
  <c r="P304" i="4" s="1"/>
  <c r="I304" i="4" l="1"/>
  <c r="O304" i="4" s="1"/>
  <c r="N304" i="4"/>
  <c r="K304" i="4" l="1"/>
  <c r="F305" i="4" s="1"/>
  <c r="H305" i="4" l="1"/>
  <c r="J305" i="4" l="1"/>
  <c r="P305" i="4" s="1"/>
  <c r="N305" i="4"/>
  <c r="I305" i="4"/>
  <c r="O305" i="4" s="1"/>
  <c r="K305" i="4" l="1"/>
  <c r="F306" i="4" s="1"/>
  <c r="H306" i="4" l="1"/>
  <c r="I306" i="4" s="1"/>
  <c r="O306" i="4" s="1"/>
  <c r="J306" i="4" l="1"/>
  <c r="P306" i="4" s="1"/>
  <c r="N306" i="4"/>
  <c r="K306" i="4"/>
  <c r="F307" i="4" s="1"/>
  <c r="H307" i="4" l="1"/>
  <c r="J307" i="4" s="1"/>
  <c r="P307" i="4" s="1"/>
  <c r="I307" i="4" l="1"/>
  <c r="O307" i="4" s="1"/>
  <c r="N307" i="4"/>
  <c r="K307" i="4" l="1"/>
  <c r="F308" i="4" s="1"/>
  <c r="H308" i="4" l="1"/>
  <c r="I308" i="4" s="1"/>
  <c r="O308" i="4" s="1"/>
  <c r="J308" i="4" l="1"/>
  <c r="P308" i="4" s="1"/>
  <c r="N308" i="4"/>
  <c r="K308" i="4"/>
  <c r="F309" i="4" s="1"/>
  <c r="H309" i="4" l="1"/>
  <c r="J309" i="4" s="1"/>
  <c r="P309" i="4" s="1"/>
  <c r="N309" i="4" l="1"/>
  <c r="I309" i="4"/>
  <c r="O309" i="4" s="1"/>
  <c r="K309" i="4" l="1"/>
  <c r="F310" i="4" s="1"/>
  <c r="H310" i="4" l="1"/>
  <c r="J310" i="4" l="1"/>
  <c r="P310" i="4" s="1"/>
  <c r="N310" i="4"/>
  <c r="I310" i="4"/>
  <c r="O310" i="4" s="1"/>
  <c r="K310" i="4" l="1"/>
  <c r="F311" i="4" l="1"/>
  <c r="H311" i="4" l="1"/>
  <c r="I311" i="4" l="1"/>
  <c r="O311" i="4" s="1"/>
  <c r="J311" i="4"/>
  <c r="P311" i="4" s="1"/>
  <c r="N311" i="4"/>
  <c r="K311" i="4" l="1"/>
  <c r="F312" i="4" l="1"/>
  <c r="H312" i="4" l="1"/>
  <c r="I312" i="4" s="1"/>
  <c r="O312" i="4" s="1"/>
  <c r="K312" i="4" l="1"/>
  <c r="J312" i="4"/>
  <c r="P312" i="4" s="1"/>
  <c r="N312" i="4"/>
  <c r="F313" i="4" l="1"/>
  <c r="H313" i="4" l="1"/>
  <c r="I313" i="4" s="1"/>
  <c r="O313" i="4" s="1"/>
  <c r="K313" i="4" l="1"/>
  <c r="J313" i="4"/>
  <c r="P313" i="4" s="1"/>
  <c r="N313" i="4"/>
  <c r="F314" i="4" l="1"/>
  <c r="H314" i="4" l="1"/>
  <c r="I314" i="4" s="1"/>
  <c r="O314" i="4" s="1"/>
  <c r="J314" i="4" l="1"/>
  <c r="P314" i="4" s="1"/>
  <c r="N314" i="4"/>
  <c r="K314" i="4"/>
  <c r="F315" i="4" s="1"/>
  <c r="H315" i="4" l="1"/>
  <c r="J315" i="4" s="1"/>
  <c r="P315" i="4" s="1"/>
  <c r="I315" i="4" l="1"/>
  <c r="O315" i="4" s="1"/>
  <c r="N315" i="4"/>
  <c r="K315" i="4" l="1"/>
  <c r="F316" i="4" s="1"/>
  <c r="H316" i="4" l="1"/>
  <c r="J316" i="4" l="1"/>
  <c r="P316" i="4" s="1"/>
  <c r="N316" i="4"/>
  <c r="I316" i="4"/>
  <c r="O316" i="4" s="1"/>
  <c r="K316" i="4" l="1"/>
  <c r="F317" i="4" s="1"/>
  <c r="H317" i="4" l="1"/>
  <c r="I317" i="4" l="1"/>
  <c r="O317" i="4" s="1"/>
  <c r="J317" i="4"/>
  <c r="P317" i="4" s="1"/>
  <c r="N317" i="4"/>
  <c r="K317" i="4" l="1"/>
  <c r="F318" i="4" s="1"/>
  <c r="H318" i="4" l="1"/>
  <c r="J318" i="4" l="1"/>
  <c r="P318" i="4" s="1"/>
  <c r="N318" i="4"/>
  <c r="I318" i="4"/>
  <c r="O318" i="4" s="1"/>
  <c r="K318" i="4" l="1"/>
  <c r="F319" i="4" s="1"/>
  <c r="H319" i="4" l="1"/>
  <c r="I319" i="4" l="1"/>
  <c r="O319" i="4" s="1"/>
  <c r="J319" i="4"/>
  <c r="P319" i="4" s="1"/>
  <c r="N319" i="4"/>
  <c r="K319" i="4" l="1"/>
  <c r="F320" i="4" s="1"/>
  <c r="H320" i="4" l="1"/>
  <c r="I320" i="4" s="1"/>
  <c r="O320" i="4" s="1"/>
  <c r="K320" i="4" l="1"/>
  <c r="F321" i="4" s="1"/>
  <c r="J320" i="4"/>
  <c r="P320" i="4" s="1"/>
  <c r="N320" i="4"/>
  <c r="H321" i="4" l="1"/>
  <c r="J321" i="4" s="1"/>
  <c r="P321" i="4" s="1"/>
  <c r="I321" i="4" l="1"/>
  <c r="O321" i="4" s="1"/>
  <c r="N321" i="4"/>
  <c r="K321" i="4" l="1"/>
  <c r="F322" i="4" s="1"/>
  <c r="H322" i="4" l="1"/>
  <c r="I322" i="4" s="1"/>
  <c r="O322" i="4" s="1"/>
  <c r="J322" i="4" l="1"/>
  <c r="P322" i="4" s="1"/>
  <c r="N322" i="4"/>
  <c r="K322" i="4"/>
  <c r="F323" i="4" s="1"/>
  <c r="H323" i="4" l="1"/>
  <c r="J323" i="4" s="1"/>
  <c r="P323" i="4" s="1"/>
  <c r="N323" i="4" l="1"/>
  <c r="I323" i="4"/>
  <c r="O323" i="4" s="1"/>
  <c r="K323" i="4" l="1"/>
  <c r="F324" i="4" s="1"/>
  <c r="H324" i="4" l="1"/>
  <c r="I324" i="4" s="1"/>
  <c r="O324" i="4" s="1"/>
  <c r="J324" i="4" l="1"/>
  <c r="P324" i="4" s="1"/>
  <c r="N324" i="4"/>
  <c r="K324" i="4"/>
  <c r="F325" i="4" s="1"/>
  <c r="H325" i="4" l="1"/>
  <c r="J325" i="4" s="1"/>
  <c r="P325" i="4" s="1"/>
  <c r="I325" i="4" l="1"/>
  <c r="O325" i="4" s="1"/>
  <c r="N325" i="4"/>
  <c r="K325" i="4" l="1"/>
  <c r="F326" i="4" s="1"/>
  <c r="H326" i="4" l="1"/>
  <c r="I326" i="4" l="1"/>
  <c r="O326" i="4" s="1"/>
  <c r="J326" i="4"/>
  <c r="P326" i="4" s="1"/>
  <c r="N326" i="4"/>
  <c r="K326" i="4" l="1"/>
  <c r="F327" i="4" s="1"/>
  <c r="H327" i="4" l="1"/>
  <c r="I327" i="4" l="1"/>
  <c r="O327" i="4" s="1"/>
  <c r="J327" i="4"/>
  <c r="P327" i="4" s="1"/>
  <c r="N327" i="4"/>
  <c r="K327" i="4" l="1"/>
  <c r="F328" i="4" s="1"/>
  <c r="H328" i="4" l="1"/>
  <c r="J328" i="4" l="1"/>
  <c r="P328" i="4" s="1"/>
  <c r="N328" i="4"/>
  <c r="I328" i="4"/>
  <c r="O328" i="4" s="1"/>
  <c r="K328" i="4" l="1"/>
  <c r="F329" i="4" s="1"/>
  <c r="H329" i="4" l="1"/>
  <c r="I329" i="4" s="1"/>
  <c r="O329" i="4" s="1"/>
  <c r="K329" i="4" l="1"/>
  <c r="F330" i="4" s="1"/>
  <c r="J329" i="4"/>
  <c r="P329" i="4" s="1"/>
  <c r="N329" i="4"/>
  <c r="H330" i="4" l="1"/>
  <c r="J330" i="4" s="1"/>
  <c r="P330" i="4" s="1"/>
  <c r="I330" i="4" l="1"/>
  <c r="O330" i="4" s="1"/>
  <c r="N330" i="4"/>
  <c r="K330" i="4" l="1"/>
  <c r="F331" i="4" s="1"/>
  <c r="H331" i="4" l="1"/>
  <c r="I331" i="4" s="1"/>
  <c r="O331" i="4" s="1"/>
  <c r="K331" i="4" l="1"/>
  <c r="F332" i="4" s="1"/>
  <c r="J331" i="4"/>
  <c r="P331" i="4" s="1"/>
  <c r="N331" i="4"/>
  <c r="H332" i="4" l="1"/>
  <c r="J332" i="4" s="1"/>
  <c r="P332" i="4" s="1"/>
  <c r="I332" i="4" l="1"/>
  <c r="O332" i="4" s="1"/>
  <c r="N332" i="4"/>
  <c r="K332" i="4" l="1"/>
  <c r="F333" i="4" s="1"/>
  <c r="H333" i="4" l="1"/>
  <c r="J333" i="4" l="1"/>
  <c r="P333" i="4" s="1"/>
  <c r="N333" i="4"/>
  <c r="I333" i="4"/>
  <c r="O333" i="4" s="1"/>
  <c r="K333" i="4" l="1"/>
  <c r="F334" i="4" s="1"/>
  <c r="H334" i="4" l="1"/>
  <c r="J334" i="4" l="1"/>
  <c r="P334" i="4" s="1"/>
  <c r="N334" i="4"/>
  <c r="I334" i="4"/>
  <c r="O334" i="4" s="1"/>
  <c r="K334" i="4" l="1"/>
  <c r="F335" i="4" s="1"/>
  <c r="H335" i="4" l="1"/>
  <c r="J335" i="4" l="1"/>
  <c r="P335" i="4" s="1"/>
  <c r="N335" i="4"/>
  <c r="I335" i="4"/>
  <c r="O335" i="4" s="1"/>
  <c r="K335" i="4" l="1"/>
  <c r="F336" i="4" s="1"/>
  <c r="H336" i="4" l="1"/>
  <c r="J336" i="4" l="1"/>
  <c r="P336" i="4" s="1"/>
  <c r="N336" i="4"/>
  <c r="I336" i="4"/>
  <c r="O336" i="4" s="1"/>
  <c r="K336" i="4" l="1"/>
  <c r="F337" i="4" s="1"/>
  <c r="H337" i="4" l="1"/>
  <c r="J337" i="4" l="1"/>
  <c r="P337" i="4" s="1"/>
  <c r="N337" i="4"/>
  <c r="I337" i="4"/>
  <c r="O337" i="4" s="1"/>
  <c r="K337" i="4" l="1"/>
  <c r="F338" i="4" s="1"/>
  <c r="H338" i="4" l="1"/>
  <c r="J338" i="4" l="1"/>
  <c r="P338" i="4" s="1"/>
  <c r="N338" i="4"/>
  <c r="I338" i="4"/>
  <c r="O338" i="4" s="1"/>
  <c r="K338" i="4"/>
  <c r="F339" i="4" s="1"/>
  <c r="H339" i="4" l="1"/>
  <c r="J339" i="4" s="1"/>
  <c r="P339" i="4" s="1"/>
  <c r="N339" i="4" l="1"/>
  <c r="I339" i="4"/>
  <c r="O339" i="4" s="1"/>
  <c r="K339" i="4" l="1"/>
  <c r="F340" i="4" s="1"/>
  <c r="H340" i="4" l="1"/>
  <c r="J340" i="4" l="1"/>
  <c r="P340" i="4" s="1"/>
  <c r="N340" i="4"/>
  <c r="I340" i="4"/>
  <c r="O340" i="4" s="1"/>
  <c r="K340" i="4" l="1"/>
  <c r="F341" i="4" l="1"/>
  <c r="H341" i="4" l="1"/>
  <c r="J341" i="4" l="1"/>
  <c r="P341" i="4" s="1"/>
  <c r="N341" i="4"/>
  <c r="I341" i="4"/>
  <c r="O341" i="4" l="1"/>
  <c r="K341" i="4"/>
  <c r="F342" i="4" l="1"/>
  <c r="H342" i="4" l="1"/>
  <c r="J342" i="4" l="1"/>
  <c r="P342" i="4" s="1"/>
  <c r="N342" i="4"/>
  <c r="I342" i="4"/>
  <c r="O342" i="4" s="1"/>
  <c r="K342" i="4" l="1"/>
  <c r="F343" i="4" l="1"/>
  <c r="H343" i="4" l="1"/>
  <c r="I343" i="4" s="1"/>
  <c r="O343" i="4" s="1"/>
  <c r="J343" i="4" l="1"/>
  <c r="P343" i="4" s="1"/>
  <c r="N343" i="4"/>
  <c r="K343" i="4"/>
  <c r="F344" i="4" l="1"/>
  <c r="H344" i="4" l="1"/>
  <c r="J344" i="4" l="1"/>
  <c r="P344" i="4" s="1"/>
  <c r="N344" i="4"/>
  <c r="I344" i="4"/>
  <c r="O344" i="4" s="1"/>
  <c r="K344" i="4" l="1"/>
  <c r="F345" i="4" s="1"/>
  <c r="H345" i="4" l="1"/>
  <c r="J345" i="4" l="1"/>
  <c r="P345" i="4" s="1"/>
  <c r="N345" i="4"/>
  <c r="I345" i="4"/>
  <c r="O345" i="4" s="1"/>
  <c r="K345" i="4" l="1"/>
  <c r="F346" i="4" s="1"/>
  <c r="H346" i="4" l="1"/>
  <c r="J346" i="4" l="1"/>
  <c r="P346" i="4" s="1"/>
  <c r="N346" i="4"/>
  <c r="I346" i="4"/>
  <c r="O346" i="4" s="1"/>
  <c r="K346" i="4" l="1"/>
  <c r="F347" i="4" s="1"/>
  <c r="H347" i="4" l="1"/>
  <c r="J347" i="4" l="1"/>
  <c r="P347" i="4" s="1"/>
  <c r="N347" i="4"/>
  <c r="I347" i="4"/>
  <c r="O347" i="4" s="1"/>
  <c r="K347" i="4" l="1"/>
  <c r="F348" i="4" s="1"/>
  <c r="H348" i="4" l="1"/>
  <c r="J348" i="4" l="1"/>
  <c r="P348" i="4" s="1"/>
  <c r="N348" i="4"/>
  <c r="I348" i="4"/>
  <c r="O348" i="4" s="1"/>
  <c r="K348" i="4" l="1"/>
  <c r="F349" i="4" s="1"/>
  <c r="H349" i="4" l="1"/>
  <c r="J349" i="4" l="1"/>
  <c r="P349" i="4" s="1"/>
  <c r="N349" i="4"/>
  <c r="I349" i="4"/>
  <c r="O349" i="4" s="1"/>
  <c r="K349" i="4" l="1"/>
  <c r="F350" i="4" s="1"/>
  <c r="H350" i="4" l="1"/>
  <c r="J350" i="4" l="1"/>
  <c r="P350" i="4" s="1"/>
  <c r="N350" i="4"/>
  <c r="I350" i="4"/>
  <c r="O350" i="4" s="1"/>
  <c r="K350" i="4" l="1"/>
  <c r="F351" i="4" s="1"/>
  <c r="H351" i="4" l="1"/>
  <c r="J351" i="4" l="1"/>
  <c r="P351" i="4" s="1"/>
  <c r="N351" i="4"/>
  <c r="I351" i="4"/>
  <c r="O351" i="4" s="1"/>
  <c r="K351" i="4" l="1"/>
  <c r="F352" i="4" s="1"/>
  <c r="H352" i="4" l="1"/>
  <c r="J352" i="4" l="1"/>
  <c r="P352" i="4" s="1"/>
  <c r="N352" i="4"/>
  <c r="I352" i="4"/>
  <c r="O352" i="4" s="1"/>
  <c r="K352" i="4" l="1"/>
  <c r="F353" i="4" s="1"/>
  <c r="H353" i="4" l="1"/>
  <c r="J353" i="4" l="1"/>
  <c r="P353" i="4" s="1"/>
  <c r="N353" i="4"/>
  <c r="I353" i="4"/>
  <c r="O353" i="4" s="1"/>
  <c r="K353" i="4" l="1"/>
  <c r="F354" i="4" s="1"/>
  <c r="H354" i="4" l="1"/>
  <c r="I354" i="4" s="1"/>
  <c r="O354" i="4" s="1"/>
  <c r="J354" i="4" l="1"/>
  <c r="P354" i="4" s="1"/>
  <c r="N354" i="4"/>
  <c r="K354" i="4"/>
  <c r="F355" i="4" s="1"/>
  <c r="H355" i="4" l="1"/>
  <c r="J355" i="4" s="1"/>
  <c r="P355" i="4" s="1"/>
  <c r="I355" i="4" l="1"/>
  <c r="O355" i="4" s="1"/>
  <c r="N355" i="4"/>
  <c r="K355" i="4" l="1"/>
  <c r="F356" i="4" s="1"/>
  <c r="H356" i="4" l="1"/>
  <c r="J356" i="4" l="1"/>
  <c r="P356" i="4" s="1"/>
  <c r="N356" i="4"/>
  <c r="I356" i="4"/>
  <c r="O356" i="4" s="1"/>
  <c r="K356" i="4" l="1"/>
  <c r="F357" i="4" s="1"/>
  <c r="H357" i="4" l="1"/>
  <c r="J357" i="4" l="1"/>
  <c r="P357" i="4" s="1"/>
  <c r="N357" i="4"/>
  <c r="I357" i="4"/>
  <c r="O357" i="4" s="1"/>
  <c r="K357" i="4" l="1"/>
  <c r="F358" i="4" s="1"/>
  <c r="H358" i="4" l="1"/>
  <c r="J358" i="4" l="1"/>
  <c r="P358" i="4" s="1"/>
  <c r="N358" i="4"/>
  <c r="I358" i="4"/>
  <c r="O358" i="4" s="1"/>
  <c r="K358" i="4" l="1"/>
  <c r="F359" i="4" s="1"/>
  <c r="H359" i="4" l="1"/>
  <c r="J359" i="4" l="1"/>
  <c r="P359" i="4" s="1"/>
  <c r="N359" i="4"/>
  <c r="I359" i="4"/>
  <c r="O359" i="4" s="1"/>
  <c r="K359" i="4" l="1"/>
  <c r="F360" i="4" s="1"/>
  <c r="H360" i="4" l="1"/>
  <c r="I360" i="4" s="1"/>
  <c r="O360" i="4" s="1"/>
  <c r="J360" i="4" l="1"/>
  <c r="P360" i="4" s="1"/>
  <c r="N360" i="4"/>
  <c r="K360" i="4"/>
  <c r="F361" i="4" s="1"/>
  <c r="H361" i="4" l="1"/>
  <c r="J361" i="4" s="1"/>
  <c r="P361" i="4" s="1"/>
  <c r="I361" i="4" l="1"/>
  <c r="O361" i="4" s="1"/>
  <c r="N361" i="4"/>
  <c r="K361" i="4" l="1"/>
  <c r="F362" i="4" s="1"/>
  <c r="H362" i="4" l="1"/>
  <c r="J362" i="4" l="1"/>
  <c r="P362" i="4" s="1"/>
  <c r="N362" i="4"/>
  <c r="I362" i="4"/>
  <c r="O362" i="4" s="1"/>
  <c r="K362" i="4" l="1"/>
  <c r="F363" i="4" s="1"/>
  <c r="H363" i="4" l="1"/>
  <c r="J363" i="4" l="1"/>
  <c r="P363" i="4" s="1"/>
  <c r="N363" i="4"/>
  <c r="I363" i="4"/>
  <c r="O363" i="4" s="1"/>
  <c r="K363" i="4" l="1"/>
  <c r="F364" i="4" s="1"/>
  <c r="H364" i="4" l="1"/>
  <c r="J364" i="4" l="1"/>
  <c r="P364" i="4" s="1"/>
  <c r="N364" i="4"/>
  <c r="I364" i="4"/>
  <c r="O364" i="4" l="1"/>
  <c r="K364" i="4"/>
  <c r="F365" i="4" s="1"/>
  <c r="H365" i="4" l="1"/>
  <c r="J365" i="4" l="1"/>
  <c r="P365" i="4" s="1"/>
  <c r="N365" i="4"/>
  <c r="I365" i="4"/>
  <c r="K365" i="4" l="1"/>
  <c r="F366" i="4" s="1"/>
  <c r="O365" i="4"/>
  <c r="H366" i="4" l="1"/>
  <c r="I366" i="4"/>
  <c r="O366" i="4" s="1"/>
  <c r="J366" i="4" l="1"/>
  <c r="P366" i="4" s="1"/>
  <c r="N366" i="4"/>
  <c r="K366" i="4"/>
  <c r="F367" i="4" s="1"/>
  <c r="H367" i="4" l="1"/>
  <c r="J367" i="4" s="1"/>
  <c r="P367" i="4" s="1"/>
  <c r="N367" i="4"/>
  <c r="I367" i="4" l="1"/>
  <c r="O367" i="4" l="1"/>
  <c r="K367" i="4"/>
  <c r="F368" i="4" s="1"/>
  <c r="H368" i="4" l="1"/>
  <c r="J368" i="4" l="1"/>
  <c r="P368" i="4" s="1"/>
  <c r="N368" i="4"/>
  <c r="I368" i="4"/>
  <c r="O368" i="4" s="1"/>
  <c r="K368" i="4" l="1"/>
  <c r="F369" i="4" s="1"/>
  <c r="H369" i="4" l="1"/>
  <c r="J369" i="4" l="1"/>
  <c r="P369" i="4" s="1"/>
  <c r="N369" i="4"/>
  <c r="I369" i="4"/>
  <c r="O369" i="4" s="1"/>
  <c r="K369" i="4" l="1"/>
  <c r="F370" i="4" s="1"/>
  <c r="H370" i="4" l="1"/>
  <c r="I370" i="4"/>
  <c r="G12" i="5" l="1"/>
  <c r="G14" i="5"/>
  <c r="G8" i="5"/>
  <c r="G10" i="5"/>
  <c r="G6" i="5"/>
  <c r="G17" i="5"/>
  <c r="G16" i="5"/>
  <c r="G11" i="5"/>
  <c r="G15" i="5"/>
  <c r="G13" i="5"/>
  <c r="G9" i="5"/>
  <c r="G7" i="5"/>
  <c r="O370" i="4"/>
  <c r="J370" i="4"/>
  <c r="F7" i="5"/>
  <c r="K7" i="5" s="1"/>
  <c r="F9" i="5"/>
  <c r="K9" i="5" s="1"/>
  <c r="F13" i="5"/>
  <c r="K13" i="5" s="1"/>
  <c r="F11" i="5"/>
  <c r="K11" i="5" s="1"/>
  <c r="F15" i="5"/>
  <c r="K15" i="5" s="1"/>
  <c r="F17" i="5"/>
  <c r="K17" i="5" s="1"/>
  <c r="F14" i="5"/>
  <c r="K14" i="5" s="1"/>
  <c r="F6" i="5"/>
  <c r="F12" i="5"/>
  <c r="K12" i="5" s="1"/>
  <c r="F10" i="5"/>
  <c r="K10" i="5" s="1"/>
  <c r="F8" i="5"/>
  <c r="K8" i="5" s="1"/>
  <c r="F16" i="5"/>
  <c r="K16" i="5" s="1"/>
  <c r="N370" i="4"/>
  <c r="K370" i="4"/>
  <c r="I6" i="5" l="1"/>
  <c r="I7" i="5"/>
  <c r="J7" i="5" s="1"/>
  <c r="I8" i="5"/>
  <c r="J8" i="5" s="1"/>
  <c r="I9" i="5"/>
  <c r="J9" i="5" s="1"/>
  <c r="I10" i="5"/>
  <c r="J10" i="5" s="1"/>
  <c r="I11" i="5"/>
  <c r="J11" i="5" s="1"/>
  <c r="I12" i="5"/>
  <c r="J12" i="5" s="1"/>
  <c r="I13" i="5"/>
  <c r="J13" i="5" s="1"/>
  <c r="I14" i="5"/>
  <c r="J14" i="5" s="1"/>
  <c r="I15" i="5"/>
  <c r="J15" i="5" s="1"/>
  <c r="I16" i="5"/>
  <c r="J16" i="5" s="1"/>
  <c r="I17" i="5"/>
  <c r="J17" i="5" s="1"/>
  <c r="F18" i="5"/>
  <c r="K6" i="5"/>
  <c r="H7" i="5"/>
  <c r="H13" i="5"/>
  <c r="H16" i="5"/>
  <c r="H17" i="5"/>
  <c r="H15" i="5"/>
  <c r="H9" i="5"/>
  <c r="H11" i="5"/>
  <c r="H6" i="5"/>
  <c r="H8" i="5"/>
  <c r="H12" i="5"/>
  <c r="H14" i="5"/>
  <c r="H10" i="5"/>
  <c r="P370" i="4"/>
  <c r="G18" i="5"/>
  <c r="B12" i="1" s="1"/>
  <c r="H18" i="5" l="1"/>
  <c r="E8" i="1" s="1"/>
  <c r="C17" i="9"/>
  <c r="C19" i="9" s="1"/>
  <c r="C55" i="7"/>
  <c r="D8" i="1"/>
  <c r="K18" i="5"/>
  <c r="D12" i="1" s="1"/>
  <c r="I18" i="5"/>
  <c r="J18" i="5" s="1"/>
  <c r="C12" i="1" s="1"/>
  <c r="J6" i="5"/>
  <c r="E55" i="9" l="1"/>
  <c r="F55" i="9" s="1"/>
  <c r="E54" i="9"/>
  <c r="F54" i="9" s="1"/>
  <c r="E53" i="9"/>
  <c r="F53" i="9" s="1"/>
  <c r="E52" i="9"/>
  <c r="F52" i="9" s="1"/>
  <c r="E51" i="9"/>
  <c r="F51" i="9" s="1"/>
  <c r="E50" i="9"/>
  <c r="F50" i="9" s="1"/>
  <c r="E49" i="9"/>
  <c r="F49" i="9" s="1"/>
  <c r="E48" i="9"/>
  <c r="F48" i="9" s="1"/>
  <c r="E47" i="9"/>
  <c r="F47" i="9" s="1"/>
  <c r="E46" i="9"/>
  <c r="F46" i="9" s="1"/>
  <c r="E45" i="9"/>
  <c r="F45" i="9" s="1"/>
  <c r="E44" i="9"/>
  <c r="F44" i="9" s="1"/>
  <c r="E43" i="9"/>
  <c r="F43" i="9" s="1"/>
  <c r="E42" i="9"/>
  <c r="F42" i="9" s="1"/>
  <c r="E41" i="9"/>
  <c r="F41" i="9" s="1"/>
  <c r="E40" i="9"/>
  <c r="F40" i="9" s="1"/>
  <c r="E39" i="9"/>
  <c r="F39" i="9" s="1"/>
  <c r="E38" i="9"/>
  <c r="F38" i="9" s="1"/>
  <c r="E37" i="9"/>
  <c r="F37" i="9" s="1"/>
  <c r="E36" i="9"/>
  <c r="C20" i="9"/>
  <c r="B16" i="1"/>
  <c r="F36" i="9" l="1"/>
  <c r="C59" i="9"/>
  <c r="C16" i="1"/>
  <c r="C23" i="9"/>
  <c r="D16" i="1" s="1"/>
  <c r="C28" i="9" l="1"/>
  <c r="E16" i="1" s="1"/>
  <c r="C29" i="9"/>
  <c r="G36" i="9"/>
  <c r="G37" i="9" s="1"/>
  <c r="G38" i="9" s="1"/>
  <c r="G39" i="9" s="1"/>
  <c r="G40" i="9" s="1"/>
  <c r="G41" i="9" s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C60" i="9" s="1"/>
</calcChain>
</file>

<file path=xl/sharedStrings.xml><?xml version="1.0" encoding="utf-8"?>
<sst xmlns="http://schemas.openxmlformats.org/spreadsheetml/2006/main" count="403" uniqueCount="343">
  <si>
    <t>RAINWATER HARVESTING SYSTEM</t>
  </si>
  <si>
    <t>Station</t>
  </si>
  <si>
    <t>Tank Capacity</t>
  </si>
  <si>
    <t>Total Annual Rainfall</t>
  </si>
  <si>
    <t>Total Water Collected</t>
  </si>
  <si>
    <t>Water Supplied</t>
  </si>
  <si>
    <t>Water Shortage</t>
  </si>
  <si>
    <t>gross, before demand</t>
  </si>
  <si>
    <t>met from storage</t>
  </si>
  <si>
    <t>unmet demand</t>
  </si>
  <si>
    <t>Annual Overflow</t>
  </si>
  <si>
    <t>Tank Utilization</t>
  </si>
  <si>
    <t>Supply Reliability</t>
  </si>
  <si>
    <t>Collection Efficiency</t>
  </si>
  <si>
    <t>spilled once full</t>
  </si>
  <si>
    <t>avg storage / capacity</t>
  </si>
  <si>
    <t>supplied / demand</t>
  </si>
  <si>
    <t>runoff x filter x conveyance</t>
  </si>
  <si>
    <t>Annual Water Savings</t>
  </si>
  <si>
    <t>Annual Cost Savings</t>
  </si>
  <si>
    <t>Simple Payback</t>
  </si>
  <si>
    <t>Net Present Value</t>
  </si>
  <si>
    <t>gross litres offset</t>
  </si>
  <si>
    <t>net, after O&amp;M</t>
  </si>
  <si>
    <t>capital / net savings</t>
  </si>
  <si>
    <t>@ 12% discount, 20 yr</t>
  </si>
  <si>
    <t>Yellow-filled cells are editable. All other sheets read from named ranges defined here.</t>
  </si>
  <si>
    <t>ROOF &amp; SITE</t>
  </si>
  <si>
    <t>WATER DEMAND</t>
  </si>
  <si>
    <t>Roof Area</t>
  </si>
  <si>
    <t>m2</t>
  </si>
  <si>
    <t>Plan (footprint) area of the collection roof, not sloped surface area.</t>
  </si>
  <si>
    <t>Number of Occupants</t>
  </si>
  <si>
    <t>people</t>
  </si>
  <si>
    <t>Roof Material</t>
  </si>
  <si>
    <t>Corrugated Metal</t>
  </si>
  <si>
    <t>Drives default runoff coefficient below via lookup table.</t>
  </si>
  <si>
    <t>Per-Capita Daily Demand</t>
  </si>
  <si>
    <t>L/person/day</t>
  </si>
  <si>
    <t>Runoff Coefficient (C)</t>
  </si>
  <si>
    <t>First-Flush Diversion</t>
  </si>
  <si>
    <t>mm</t>
  </si>
  <si>
    <t>Depth of initial rainfall diverted per event to flush roof contaminants. Set to 0 to disable.</t>
  </si>
  <si>
    <t>Total Daily Demand</t>
  </si>
  <si>
    <t>SYSTEM PERFORMANCE</t>
  </si>
  <si>
    <t>LOCATION</t>
  </si>
  <si>
    <t>Filter Efficiency</t>
  </si>
  <si>
    <t>Fraction of pre-filtered water passing the leaf/debris filter to storage.</t>
  </si>
  <si>
    <t>Rainfall Station</t>
  </si>
  <si>
    <t>Karachi</t>
  </si>
  <si>
    <t>Conveyance Efficiency</t>
  </si>
  <si>
    <t>Fraction retained after gutter/downpipe losses and minor leakage.</t>
  </si>
  <si>
    <t>Manual entry overrides the station table on the Rainfall Data sheet.</t>
  </si>
  <si>
    <t>Pump Efficiency</t>
  </si>
  <si>
    <t>Applied only in energy cost calc on Sheet 9; does not affect water balance.</t>
  </si>
  <si>
    <t>ECONOMIC PARAMETERS</t>
  </si>
  <si>
    <t>Overall Collection Efficiency</t>
  </si>
  <si>
    <t>Runoff Coeff x Filter Eff x Conveyance Eff (Sheet 6, Eq. 3)</t>
  </si>
  <si>
    <t>Municipal Water Tariff</t>
  </si>
  <si>
    <t>PKR/L</t>
  </si>
  <si>
    <t>Tank Capital Cost</t>
  </si>
  <si>
    <t>PKR</t>
  </si>
  <si>
    <t>STORAGE TANK</t>
  </si>
  <si>
    <t>Installation Cost</t>
  </si>
  <si>
    <t>L</t>
  </si>
  <si>
    <t>Design storage volume. Optimized on Sheet 7 (Solver).</t>
  </si>
  <si>
    <t>Annual Maintenance Cost</t>
  </si>
  <si>
    <t>PKR/yr</t>
  </si>
  <si>
    <t>Initial Tank Level (Day 0)</t>
  </si>
  <si>
    <t>Starting stored volume on 1 January.</t>
  </si>
  <si>
    <t>Electricity Tariff</t>
  </si>
  <si>
    <t>PKR/kWh</t>
  </si>
  <si>
    <t>Dead Storage (unusable)</t>
  </si>
  <si>
    <t>Sediment zone below outlet; excluded from usable supply.</t>
  </si>
  <si>
    <t>Discount Rate</t>
  </si>
  <si>
    <t>Analysis Horizon</t>
  </si>
  <si>
    <t>yrs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</si>
  <si>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</si>
  <si>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</si>
  <si>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</si>
  <si>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</si>
  <si>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</si>
  <si>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</si>
  <si>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</si>
  <si>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</si>
  <si>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</si>
  <si>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</si>
  <si>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</si>
  <si>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</si>
  <si>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</si>
  <si>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Lahore</t>
  </si>
  <si>
    <t>Islamabad</t>
  </si>
  <si>
    <t>Peshawar</t>
  </si>
  <si>
    <t>Quetta</t>
  </si>
  <si>
    <t>Manual Entry</t>
  </si>
  <si>
    <t>Used only when Inputs!RainfallStation = "Manual Entry"</t>
  </si>
  <si>
    <t>ACTIVE MONTHLY SERIES  (driven by Inputs!RainfallStation)</t>
  </si>
  <si>
    <t>Month</t>
  </si>
  <si>
    <t>Rainfall (mm)</t>
  </si>
  <si>
    <t>Rainy Days</t>
  </si>
  <si>
    <t>Days in Month</t>
  </si>
  <si>
    <t>Annual Total</t>
  </si>
  <si>
    <t>DAILY RAINFALL SERIES (365 Days)</t>
  </si>
  <si>
    <t>Day</t>
  </si>
  <si>
    <t>Date</t>
  </si>
  <si>
    <t>Month #</t>
  </si>
  <si>
    <t>Monthly Total (mm)</t>
  </si>
  <si>
    <t>Day-of-Month</t>
  </si>
  <si>
    <t>Rain Slot?</t>
  </si>
  <si>
    <t>Daily Rainfall (mm)</t>
  </si>
  <si>
    <t>Method: monthly rainfall is split equally across a fixed number of rain-days per month, placed at even day-of-month intervals (see Engineering Calcs, Assumption A4). This is a simplification of real storm clustering; for site-specific design, replace this block with observed daily station records.</t>
  </si>
  <si>
    <t>Conservation of mass: Final Level = Initial Level + Collected − Supplied − Overflow. Overflow occurs only when the tank would exceed capacity.</t>
  </si>
  <si>
    <t>Rainfall
(mm)</t>
  </si>
  <si>
    <t>Collected
Water (L)</t>
  </si>
  <si>
    <t>Initial Tank
Level (L)</t>
  </si>
  <si>
    <t>Water
Demand (L)</t>
  </si>
  <si>
    <t>Water
Supplied (L)</t>
  </si>
  <si>
    <t>Overflow
(L)</t>
  </si>
  <si>
    <t>Shortage
(L)</t>
  </si>
  <si>
    <t>Final Tank
Level (L)</t>
  </si>
  <si>
    <t>Collection
Efficiency</t>
  </si>
  <si>
    <t>Cum. Water
Collected (L)</t>
  </si>
  <si>
    <t>Cum. Water
Used (L)</t>
  </si>
  <si>
    <t>Cum.
Overflow (L)</t>
  </si>
  <si>
    <t>Cum.
Shortage (L)</t>
  </si>
  <si>
    <t>Aggregated by calendar month using SUMPRODUCT / AVERAGEIFS over the 365-day simulation.</t>
  </si>
  <si>
    <t>Demand
(L)</t>
  </si>
  <si>
    <t>Avg.
Storage (L)</t>
  </si>
  <si>
    <t>Tank
Utilization</t>
  </si>
  <si>
    <t>Reliability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</si>
  <si>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</si>
  <si>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</si>
  <si>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</si>
  <si>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</si>
  <si>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</si>
  <si>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</si>
  <si>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</si>
  <si>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</si>
  <si>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</si>
  <si>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</si>
  <si>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</si>
  <si>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ANNUAL TOTAL</t>
  </si>
  <si>
    <t>Eq. 1</t>
  </si>
  <si>
    <t>Rainfall Collection Volume</t>
  </si>
  <si>
    <t>V_collect = (P − D_ff) × A × 1,000  [litres, per event, when P &gt; D_ff]</t>
  </si>
  <si>
    <t>V_collect</t>
  </si>
  <si>
    <t>Volume of water collected (L)</t>
  </si>
  <si>
    <t>P</t>
  </si>
  <si>
    <t>Rainfall depth for the period (mm)</t>
  </si>
  <si>
    <t>D_ff</t>
  </si>
  <si>
    <t>First-flush depth diverted before collection begins (mm)</t>
  </si>
  <si>
    <t>A</t>
  </si>
  <si>
    <t>Roof plan area (m2)</t>
  </si>
  <si>
    <t>1,000</t>
  </si>
  <si>
    <t>Unit conversion: 1 mm over 1 m2 = 1 L</t>
  </si>
  <si>
    <t>1 mm of rain over 1 m2 of roof yields exactly 1 litre, so mm x m2 already gives litres directly with no further conversion factor needed.</t>
  </si>
  <si>
    <t>Eq. 2</t>
  </si>
  <si>
    <t>Runoff Coefficient</t>
  </si>
  <si>
    <t>V_runoff = C × P × A</t>
  </si>
  <si>
    <t>C</t>
  </si>
  <si>
    <t>Runoff coefficient (0-1), fraction of incident rainfall that leaves the roof as runoff</t>
  </si>
  <si>
    <t>Typical C</t>
  </si>
  <si>
    <t>Metal roof 0.80-0.90 · Concrete flat 0.70-0.85 · Clay tile 0.60-0.80 · Green roof 0.30-0.50 · Asphalt shingle 0.75-0.85</t>
  </si>
  <si>
    <t>Losses are due to surface wetting, evaporation during the event, and minor ponding. C is lower for porous or vegetated roofs.</t>
  </si>
  <si>
    <t>Eq. 3</t>
  </si>
  <si>
    <t>eta_collect = C × eta_filter × eta_convey</t>
  </si>
  <si>
    <t>eta_filter</t>
  </si>
  <si>
    <t>Fraction retained through the leaf/debris screen</t>
  </si>
  <si>
    <t>eta_convey</t>
  </si>
  <si>
    <t>Fraction retained through gutters and downpipes (minor leakage, splash-out)</t>
  </si>
  <si>
    <t>The three multiplicative losses are treated as independent, which is standard practice for a preliminary design tool; a detailed hydraulic model would treat gutter losses as a function of rainfall intensity.</t>
  </si>
  <si>
    <t>Eq. 4</t>
  </si>
  <si>
    <t>Tank Mass Balance (Daily)</t>
  </si>
  <si>
    <t>S(t) = MIN[ S(t-1) + V_collect(t) − Q_supply(t) − Q_overflow(t) , S_cap ]</t>
  </si>
  <si>
    <t>S(t)</t>
  </si>
  <si>
    <t>Tank storage at end of day t (L)</t>
  </si>
  <si>
    <t>Q_supply(t)</t>
  </si>
  <si>
    <t>Water withdrawn to meet demand on day t (L)</t>
  </si>
  <si>
    <t>Q_overflow(t)</t>
  </si>
  <si>
    <t>Water spilled once the tank is full (L)</t>
  </si>
  <si>
    <t>S_cap</t>
  </si>
  <si>
    <t>Tank capacity (L)</t>
  </si>
  <si>
    <t>This is a direct statement of conservation of mass applied to the tank as a control volume: everything entering must either leave (supply, overflow) or accumulate (storage).</t>
  </si>
  <si>
    <t>Eq. 5</t>
  </si>
  <si>
    <t>Water Supplied (Demand Satisfaction)</t>
  </si>
  <si>
    <t>Q_supply(t) = MIN[ Q_demand(t) , S(t-1) + V_collect(t) − S_dead ]</t>
  </si>
  <si>
    <t>Q_demand(t)</t>
  </si>
  <si>
    <t>Water demand on day t (L)</t>
  </si>
  <si>
    <t>S_dead</t>
  </si>
  <si>
    <t>Dead storage below the outlet, physically unusable (L)</t>
  </si>
  <si>
    <t>The tank can only supply what is both demanded and physically available above the dead-storage line.</t>
  </si>
  <si>
    <t>Eq. 6</t>
  </si>
  <si>
    <t>Overflow</t>
  </si>
  <si>
    <t>Q_overflow(t) = MAX[ S(t-1) + V_collect(t) − Q_supply(t) − S_cap , 0 ]</t>
  </si>
  <si>
    <t>Overflow is zero unless the incoming volume, net of what is drawn out, would push storage above capacity.</t>
  </si>
  <si>
    <t>Eq. 7</t>
  </si>
  <si>
    <t>Shortage (Unmet Demand)</t>
  </si>
  <si>
    <t>Q_shortage(t) = Q_demand(t) − Q_supply(t)</t>
  </si>
  <si>
    <t>Non-negative by construction because Q_supply &lt;= Q_demand always.</t>
  </si>
  <si>
    <t>Eq. 8</t>
  </si>
  <si>
    <t>Water Supply Reliability</t>
  </si>
  <si>
    <t>R = SUM[ Q_supply(t) ] / SUM[ Q_demand(t) ]   over the analysis period</t>
  </si>
  <si>
    <t>Volumetric reliability: the fraction of total annual demand actually met by the system. An alternative time-based reliability (fraction of days with zero shortage) is reported alongside it on the Dashboard for comparison.</t>
  </si>
  <si>
    <t>Eq. 9</t>
  </si>
  <si>
    <t>U = S_avg / S_cap</t>
  </si>
  <si>
    <t>S_avg</t>
  </si>
  <si>
    <t>Time-averaged storage level over the period</t>
  </si>
  <si>
    <t>Indicates how much of the installed capacity is actually being used on average; a persistently low U across a full year signals the tank may be oversized.</t>
  </si>
  <si>
    <t>Eq. 10</t>
  </si>
  <si>
    <t>Annual Water &amp; Cost Savings</t>
  </si>
  <si>
    <t>Savings_L = SUM[ Q_supply(t) ]          Savings_PKR = Savings_L × Tariff</t>
  </si>
  <si>
    <t>Savings are valued at the avoided cost of municipal/tanker water the household would otherwise have purchased.</t>
  </si>
  <si>
    <t>Eq. 11</t>
  </si>
  <si>
    <t>Simple Payback Period</t>
  </si>
  <si>
    <t>Payback = (Capital Cost + Installation Cost) / Annual Net Savings</t>
  </si>
  <si>
    <t>A first-order screening metric. Sheet 9 (Economics) supplements this with NPV and IRR, which properly discount cash flows over the full project life.</t>
  </si>
  <si>
    <t>DESIGN ASSUMPTIONS</t>
  </si>
  <si>
    <t>A1</t>
  </si>
  <si>
    <t>Rainfall is uniformly distributed within each rain-day.</t>
  </si>
  <si>
    <t>Why reasonable: Sub-daily intensity data is rarely available for preliminary design; treating each rain-day as a single depth is standard for a screening-level water balance and does not affect annual totals.</t>
  </si>
  <si>
    <t>A2</t>
  </si>
  <si>
    <t>Monthly rainfall is spread across a fixed number of rain-days per month, evenly spaced.</t>
  </si>
  <si>
    <t>Why reasonable: This approximates real storm clustering (Karachi's monsoon in Jul-Aug) without requiring a historical daily record. Replace the Rainfall Data daily block with observed station data for a detailed design.</t>
  </si>
  <si>
    <t>A3</t>
  </si>
  <si>
    <t>Demand is constant day-to-day unless the user overrides it.</t>
  </si>
  <si>
    <t>Why reasonable: Non-potable demand (flushing, washing, irrigation) is far steadier than potable demand; a constant daily draw is a reasonable simplification for sizing.</t>
  </si>
  <si>
    <t>A4</t>
  </si>
  <si>
    <t>No evaporation losses are modeled in the tank balance.</t>
  </si>
  <si>
    <t>Why reasonable: Tanks in this design are assumed closed/covered (standard practice for potable-adjacent storage in Pakistan), making evaporation negligible relative to inflow/outflow volumes.</t>
  </si>
  <si>
    <t>A5</t>
  </si>
  <si>
    <t>No leakage from the tank or piping.</t>
  </si>
  <si>
    <t>Why reasonable: A well-installed, inspected system should have negligible leakage; the Annual Maintenance Cost input implicitly covers minor repairs that would otherwise introduce loss.</t>
  </si>
  <si>
    <t>A6</t>
  </si>
  <si>
    <t>First-flush diversion is optional and, when enabled, removes a fixed depth (mm) at the start of every rain-day.</t>
  </si>
  <si>
    <t>Why reasonable: Simpler than a volume-based diverter but standard for preliminary sizing; the depth is adjustable in Inputs.</t>
  </si>
  <si>
    <t>A7</t>
  </si>
  <si>
    <t>Pump efficiency affects only the energy cost line in the Economics sheet, not the water balance.</t>
  </si>
  <si>
    <t>Why reasonable: The water balance is gravity/volume based; pumping is a downstream energy cost, not a water-loss mechanism, unless the user separately models pump-limited delivery.</t>
  </si>
  <si>
    <t>A8</t>
  </si>
  <si>
    <t>The runoff coefficient (C) is treated as constant year-round.</t>
  </si>
  <si>
    <t>Why reasonable: In reality C varies slightly with rainfall intensity and roof wetness; a constant value is standard for annual-scale water balance models.</t>
  </si>
  <si>
    <t>OBJECTIVE</t>
  </si>
  <si>
    <t>Maximize Annual Water Supplied (Monthly Summary!F18) by adjusting Tank Capacity (Inputs!C19), subject to practical and physical constraints.</t>
  </si>
  <si>
    <t>1.  Data tab -&gt; Analysis group -&gt; Solver. (If not visible: File -&gt; Options -&gt; Add-ins -&gt; Manage: Excel Add-ins -&gt; Go -&gt; check Solver Add-in -&gt; OK.)</t>
  </si>
  <si>
    <t>2.  Set Objective: click the cell selector and choose Monthly Summary!$F$18 (Annual Water Supplied).</t>
  </si>
  <si>
    <t>3.  To: select Max.</t>
  </si>
  <si>
    <t>4.  By Changing Variable Cells: select Inputs!$C$19 (Tank Capacity).</t>
  </si>
  <si>
    <t>5.  Add Constraint: Inputs!$C$19 &gt;= 500   (minimum practical tank size, litres).</t>
  </si>
  <si>
    <t>6.  Add Constraint: Inputs!$C$19 &lt;= 20000  (maximum practical tank size for a residential roof, litres).</t>
  </si>
  <si>
    <t>8.  Select Solving Method: GRG Nonlinear (the MIN/MAX logic in the daily balance is piecewise-linear, which GRG handles well; Simplex LP is not valid because of the MIN/MAX terms).</t>
  </si>
  <si>
    <t>9.  Check 'Make Unconstrained Variables Non-Negative'.</t>
  </si>
  <si>
    <t>10. Click Solve. Excel will iterate Tank Capacity, recalculating all 365 days each iteration, until Annual Water Supplied stops improving.</t>
  </si>
  <si>
    <t>11. When the Solver Results dialog appears, choose 'Keep Solver Solution' and click OK.</t>
  </si>
  <si>
    <t>Why GRG Nonlinear, not Simplex LP: the tank balance uses MIN() and MAX() functions to enforce the capacity ceiling and the non-negativity floor. These make the supplied-water response to tank size continuous but non-linear (it rises steeply then flattens as the tank stops overflowing), so a nonlinear solver is required.</t>
  </si>
  <si>
    <t>CONSTRAINT SUMMARY</t>
  </si>
  <si>
    <t>Constraint</t>
  </si>
  <si>
    <t>Cell</t>
  </si>
  <si>
    <t>Type</t>
  </si>
  <si>
    <t>Value</t>
  </si>
  <si>
    <t>Tank capacity - lower bound</t>
  </si>
  <si>
    <t>Inputs!C19</t>
  </si>
  <si>
    <t>&gt;=</t>
  </si>
  <si>
    <t>500 L</t>
  </si>
  <si>
    <t>Tank capacity - upper bound</t>
  </si>
  <si>
    <t>&lt;=</t>
  </si>
  <si>
    <t>20,000 L</t>
  </si>
  <si>
    <t>Storage cannot exceed capacity</t>
  </si>
  <si>
    <t>Daily Simulation!K6:K370</t>
  </si>
  <si>
    <t>Inputs!C19 (enforced by MIN() in the balance formula)</t>
  </si>
  <si>
    <t>Storage cannot be negative</t>
  </si>
  <si>
    <t>0 (enforced by MAX() in the balance formula)</t>
  </si>
  <si>
    <t>Independent of Solver: recomputes a simplified MONTHLY mass balance (12 steps, not 365) for each candidate tank size, so this table updates live and the curve shape can be sanity-checked against the Solver's daily-resolution result.</t>
  </si>
  <si>
    <t>Tank Size (L)</t>
  </si>
  <si>
    <t>Est. Annual
Supplied (L)</t>
  </si>
  <si>
    <t>Est. Annual
Overflow (L)</t>
  </si>
  <si>
    <t>Est. Annual
Shortage (L)</t>
  </si>
  <si>
    <t>Est.
Reliability</t>
  </si>
  <si>
    <t>Marginal Gain
vs prior step (L)</t>
  </si>
  <si>
    <t>Recommended Capacity</t>
  </si>
  <si>
    <t>Max Achievable Annual Supply</t>
  </si>
  <si>
    <t>Supply at Current Tank Size</t>
  </si>
  <si>
    <t>One-at-a-time (OAT) sensitivity: each block shifts a single parameter by -25%, 0%, +25%, all others held at base case, and recomputes annual reliability via the same monthly mass-balance approximation used in Tank Optimization.</t>
  </si>
  <si>
    <t>Scenario</t>
  </si>
  <si>
    <t>Multiplier</t>
  </si>
  <si>
    <t>Est. Annual
Reliability</t>
  </si>
  <si>
    <t>-25%</t>
  </si>
  <si>
    <t>Base</t>
  </si>
  <si>
    <t>+25%</t>
  </si>
  <si>
    <t>Rainfall (all months)</t>
  </si>
  <si>
    <t>Water Demand</t>
  </si>
  <si>
    <t>Parameter</t>
  </si>
  <si>
    <t>Low Reliability</t>
  </si>
  <si>
    <t>High Reliability</t>
  </si>
  <si>
    <t>Swing (pp)</t>
  </si>
  <si>
    <t>CAPITAL &amp; OPERATING COST</t>
  </si>
  <si>
    <t>Total Capital Cost (Year 0)</t>
  </si>
  <si>
    <t>PUMP ENERGY COST (if pump-fed distribution is used)</t>
  </si>
  <si>
    <t>Est. Pump Power Draw</t>
  </si>
  <si>
    <t>Typical small domestic booster pump; edit if a different pump is specified.</t>
  </si>
  <si>
    <t>Est. Daily Pump Run Time</t>
  </si>
  <si>
    <t>Annual Pumping Energy Cost</t>
  </si>
  <si>
    <t>Total Annual Operating Cost</t>
  </si>
  <si>
    <t>ANNUAL SAVINGS</t>
  </si>
  <si>
    <t>Annual Water Supplied by System</t>
  </si>
  <si>
    <t>Water Tariff (avoided cost)</t>
  </si>
  <si>
    <t>Gross Annual Water Bill Savings</t>
  </si>
  <si>
    <t>Net Annual Savings (after operating cost)</t>
  </si>
  <si>
    <t>SIMPLE PAYBACK PERIOD</t>
  </si>
  <si>
    <t>Total Capital Cost / Net Annual Savings</t>
  </si>
  <si>
    <t>NET PRESENT VALUE &amp; INTERNAL RATE OF RETURN</t>
  </si>
  <si>
    <t>Net Present Value (NPV)</t>
  </si>
  <si>
    <t>Internal Rate of Return (IRR)</t>
  </si>
  <si>
    <t>20-YEAR LIFE-CYCLE CASH FLOW</t>
  </si>
  <si>
    <t>Year</t>
  </si>
  <si>
    <t>Capital
Outflow (PKR)</t>
  </si>
  <si>
    <t>Maintenance
+ Energy (PKR)</t>
  </si>
  <si>
    <t>Water Bill
Savings (PKR)</t>
  </si>
  <si>
    <t>Net Cash
Flow (PKR)</t>
  </si>
  <si>
    <t>Cumulative
Cash Flow (PKR)</t>
  </si>
  <si>
    <t>LIFE-CYCLE COST SUMMARY</t>
  </si>
  <si>
    <t>Total Life-Cycle Cost (Capital + O&amp;M, undiscounted)</t>
  </si>
  <si>
    <t>Total Life-Cycle Water Bill Savings (undiscounted)</t>
  </si>
  <si>
    <t>Net Lifetime Benefit (undiscounted)</t>
  </si>
  <si>
    <t>Design &amp; Performance Simulation: Rooftop System, 365-Day Model</t>
  </si>
  <si>
    <t>USER INPUTS: Rainwater Harvesting Design Parameters</t>
  </si>
  <si>
    <t>RAINFALL DATA   Monthly Normals by Station (mm)</t>
  </si>
  <si>
    <t>MONTHLY PERFORMANCE -Supply vs Demand vs Shortage</t>
  </si>
  <si>
    <t>Fraction of rainfall that becomes runoff. Overridable -see Sheet 6 lookup table.</t>
  </si>
  <si>
    <t>MONTHLY SUMMARY  - Aggregated from Daily Simulation</t>
  </si>
  <si>
    <t>ENGINEERING CALCULATIONS  - Governing Equations &amp; Assumptions</t>
  </si>
  <si>
    <t>TANK SIZE OPTIMIZATION  - Excel Solver Setup</t>
  </si>
  <si>
    <t>SOLVER SETUP -STEP BY STEP</t>
  </si>
  <si>
    <t>7.  Add Constraint: Inputs!$C$19 = integer  (optional -commercial tank sizes are sold in discrete increments).</t>
  </si>
  <si>
    <t>12. Sanity-check the result against the sweep table below (built with a Data Table, independent of Solver) -the optimum should sit near where the supplied-water curve flattens.</t>
  </si>
  <si>
    <t>TANK SIZE SWEEP  - Approximate Monthly Balance (for chart / cross-check only)</t>
  </si>
  <si>
    <t>RECOMMENDED TANK SIZE (from sweep -cross-check against Solver result)</t>
  </si>
  <si>
    <t>litres -smallest size capturing 98% of the achievable annual supply (avoids oversizing).</t>
  </si>
  <si>
    <t>SENSITIVITY ANALYSIS  - Reliability Response to +/-25% Parameter Swings</t>
  </si>
  <si>
    <t>TORNADO SUMMARY -Reliability Swing (percentage points)</t>
  </si>
  <si>
    <t>ECONOMIC ANALYSIS  - Capital, Operating, and Life-Cycle Cost</t>
  </si>
  <si>
    <t>Year 0 = capital outlay (negative). Years 1-20 = net annual savings, held constant in real terms (no inflation escalation modeled -see assumption).</t>
  </si>
  <si>
    <t>CHARTS  - Full Chart Set for Presentation</t>
  </si>
  <si>
    <t>DAILY SIMULATION - 365-Day Tank Mass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</si>
</sst>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&quot; L&quot;"/>
    <numFmt numFmtId="165" formatCode="#,##0.0&quot; mm&quot;"/>
    <numFmt numFmtId="166" formatCode="0.0%"/>
    <numFmt numFmtId="167" formatCode="&quot;PKR &quot;#,##0"/>
    <numFmt numFmtId="168" formatCode="0.0&quot; yrs&quot;"/>
    <numFmt numFmtId="169" formatCode="#,##0.0"/>
    <numFmt numFmtId="170" formatCode="&quot;PKR &quot;#,##0.00"/>
    <numFmt numFmtId="171" formatCode="dd\-mmm"/>
    <numFmt numFmtId="172" formatCode="0.00&quot; kW&quot;"/>
    <numFmt numFmtId="173" formatCode="0.00&quot; hr&quot;"/>
  </numFmts>
  <fonts count="33" x14ac:knownFonts="1">
    <font>
      <sz val="11"/>
      <color theme="1"/>
      <name val="Calibri"/>
      <family val="2"/>
      <charset val="1"/>
    </font>
    <font>
      <b/>
      <sz val="20"/>
      <color rgb="FF1A2332"/>
      <name val="Arial"/>
      <charset val="1"/>
    </font>
    <font>
      <i/>
      <sz val="10.5"/>
      <color rgb="FF6B7A8F"/>
      <name val="Arial"/>
      <charset val="1"/>
    </font>
    <font>
      <b/>
      <sz val="9"/>
      <color rgb="FF6B7A8F"/>
      <name val="Arial"/>
      <charset val="1"/>
    </font>
    <font>
      <b/>
      <sz val="10"/>
      <color rgb="FF2E5EAA"/>
      <name val="Consolas"/>
      <charset val="1"/>
    </font>
    <font>
      <sz val="8.5"/>
      <color rgb="FF6B7A8F"/>
      <name val="Arial"/>
      <charset val="1"/>
    </font>
    <font>
      <b/>
      <sz val="19"/>
      <color rgb="FF1A2332"/>
      <name val="Consolas"/>
      <charset val="1"/>
    </font>
    <font>
      <i/>
      <sz val="7.5"/>
      <color rgb="FFA8B3C0"/>
      <name val="Arial"/>
      <charset val="1"/>
    </font>
    <font>
      <b/>
      <sz val="12"/>
      <color rgb="FFFFFFFF"/>
      <name val="Arial"/>
      <charset val="1"/>
    </font>
    <font>
      <i/>
      <sz val="9"/>
      <color rgb="FF6B7A8F"/>
      <name val="Arial"/>
      <charset val="1"/>
    </font>
    <font>
      <b/>
      <sz val="9.5"/>
      <color rgb="FFFFFFFF"/>
      <name val="Arial"/>
      <charset val="1"/>
    </font>
    <font>
      <sz val="9.5"/>
      <color rgb="FF6B7A8F"/>
      <name val="Arial"/>
      <charset val="1"/>
    </font>
    <font>
      <sz val="10"/>
      <color rgb="FF1A2332"/>
      <name val="Consolas"/>
      <charset val="1"/>
    </font>
    <font>
      <sz val="9"/>
      <color rgb="FF6B7A8F"/>
      <name val="Arial"/>
      <charset val="1"/>
    </font>
    <font>
      <i/>
      <sz val="8.5"/>
      <color rgb="FF6B7A8F"/>
      <name val="Arial"/>
      <charset val="1"/>
    </font>
    <font>
      <b/>
      <sz val="9.5"/>
      <color rgb="FF1A2332"/>
      <name val="Arial"/>
      <charset val="1"/>
    </font>
    <font>
      <b/>
      <sz val="9"/>
      <color rgb="FFFFFFFF"/>
      <name val="Arial"/>
      <charset val="1"/>
    </font>
    <font>
      <sz val="10"/>
      <color rgb="FF2E5EAA"/>
      <name val="Consolas"/>
      <charset val="1"/>
    </font>
    <font>
      <b/>
      <sz val="8.5"/>
      <color rgb="FFFFFFFF"/>
      <name val="Arial"/>
      <charset val="1"/>
    </font>
    <font>
      <b/>
      <sz val="10"/>
      <color rgb="FF1A2332"/>
      <name val="Consolas"/>
      <charset val="1"/>
    </font>
    <font>
      <b/>
      <sz val="10"/>
      <color rgb="FF3E7A5C"/>
      <name val="Consolas"/>
      <charset val="1"/>
    </font>
    <font>
      <sz val="10"/>
      <color rgb="FFB8792A"/>
      <name val="Consolas"/>
      <charset val="1"/>
    </font>
    <font>
      <sz val="10"/>
      <color rgb="FFA13E3E"/>
      <name val="Consolas"/>
      <charset val="1"/>
    </font>
    <font>
      <sz val="10"/>
      <color rgb="FF3E7A5C"/>
      <name val="Consolas"/>
      <charset val="1"/>
    </font>
    <font>
      <b/>
      <sz val="11"/>
      <color rgb="FF1A2332"/>
      <name val="Arial"/>
      <charset val="1"/>
    </font>
    <font>
      <b/>
      <sz val="11"/>
      <color rgb="FF2E5EAA"/>
      <name val="Consolas"/>
      <charset val="1"/>
    </font>
    <font>
      <sz val="9"/>
      <color rgb="FF6B7A8F"/>
      <name val="Consolas"/>
      <charset val="1"/>
    </font>
    <font>
      <sz val="9.5"/>
      <color rgb="FF1A2332"/>
      <name val="Arial"/>
      <charset val="1"/>
    </font>
    <font>
      <sz val="9"/>
      <color rgb="FF1A2332"/>
      <name val="Arial"/>
      <charset val="1"/>
    </font>
    <font>
      <sz val="7"/>
      <color rgb="FFA8B3C0"/>
      <name val="Consolas"/>
      <charset val="1"/>
    </font>
    <font>
      <b/>
      <sz val="13"/>
      <color rgb="FF2E5EAA"/>
      <name val="Consolas"/>
      <charset val="1"/>
    </font>
    <font>
      <b/>
      <sz val="11"/>
      <color rgb="FF3E7A5C"/>
      <name val="Consolas"/>
      <charset val="1"/>
    </font>
    <font>
      <b/>
      <sz val="12"/>
      <color rgb="FF2E5EAA"/>
      <name val="Consolas"/>
      <charset val="1"/>
    </font>
  </fonts>
  <fills count="9">
    <fill>
      <patternFill patternType="none"/>
    </fill>
    <fill>
      <patternFill patternType="gray125"/>
    </fill>
    <fill>
      <patternFill patternType="solid">
        <fgColor rgb="FFF3F5F7"/>
        <bgColor rgb="FFFFF9E8"/>
      </patternFill>
    </fill>
    <fill>
      <patternFill patternType="solid">
        <fgColor rgb="FF24303F"/>
        <bgColor rgb="FF1A2332"/>
      </patternFill>
    </fill>
    <fill>
      <patternFill patternType="solid">
        <fgColor rgb="FF3D4A5C"/>
        <bgColor rgb="FF24303F"/>
      </patternFill>
    </fill>
    <fill>
      <patternFill patternType="solid">
        <fgColor rgb="FFFFF9E8"/>
        <bgColor rgb="FFF3F5F7"/>
      </patternFill>
    </fill>
    <fill>
      <patternFill patternType="solid">
        <fgColor rgb="FF2E5EAA"/>
        <bgColor rgb="FF3366FF"/>
      </patternFill>
    </fill>
    <fill>
      <patternFill patternType="solid">
        <fgColor rgb="FFB8792A"/>
        <bgColor rgb="FFC9A227"/>
      </patternFill>
    </fill>
    <fill>
      <patternFill patternType="solid">
        <fgColor rgb="FFFFFFFF"/>
        <bgColor rgb="FFFFF9E8"/>
      </patternFill>
    </fill>
  </fills>
  <borders count="6">
    <border>
      <left/>
      <right/>
      <top/>
      <bottom/>
      <diagonal/>
    </border>
    <border>
      <left style="thick">
        <color rgb="FF2E5EAA"/>
      </left>
      <right/>
      <top/>
      <bottom/>
      <diagonal/>
    </border>
    <border>
      <left style="thick">
        <color rgb="FF3E7A5C"/>
      </left>
      <right/>
      <top/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 style="thin">
        <color rgb="FFE4E8ED"/>
      </left>
      <right style="thin">
        <color rgb="FFE4E8ED"/>
      </right>
      <top style="thin">
        <color rgb="FFE4E8ED"/>
      </top>
      <bottom style="thin">
        <color rgb="FFE4E8ED"/>
      </bottom>
      <diagonal/>
    </border>
    <border>
      <left/>
      <right/>
      <top style="thin">
        <color rgb="FF3D4A5C"/>
      </top>
      <bottom/>
      <diagonal/>
    </border>
  </borders>
  <cellStyleXfs count="1">
    <xf numFmtId="0" fontId="0" fillId="0" borderId="0"/>
  </cellStyleXfs>
  <cellXfs count="152">
    <xf numFmtId="0" fontId="0" fillId="0" borderId="0" xfId="0"/>
    <xf numFmtId="0" fontId="28" fillId="0" borderId="0" xfId="0" applyFont="1" applyAlignment="1">
      <alignment vertical="top" wrapText="1"/>
    </xf>
    <xf numFmtId="0" fontId="27" fillId="0" borderId="0" xfId="0" applyFont="1"/>
    <xf numFmtId="0" fontId="15" fillId="0" borderId="0" xfId="0" applyFont="1"/>
    <xf numFmtId="0" fontId="13" fillId="0" borderId="0" xfId="0" applyFont="1"/>
    <xf numFmtId="0" fontId="25" fillId="2" borderId="0" xfId="0" applyFont="1" applyFill="1"/>
    <xf numFmtId="0" fontId="24" fillId="0" borderId="0" xfId="0" applyFont="1"/>
    <xf numFmtId="0" fontId="14" fillId="0" borderId="0" xfId="0" applyFont="1" applyAlignment="1">
      <alignment vertical="top" wrapText="1"/>
    </xf>
    <xf numFmtId="0" fontId="14" fillId="0" borderId="0" xfId="0" applyFont="1"/>
    <xf numFmtId="0" fontId="10" fillId="4" borderId="0" xfId="0" applyFont="1" applyFill="1" applyAlignment="1">
      <alignment horizontal="left" vertical="center" indent="1"/>
    </xf>
    <xf numFmtId="0" fontId="9" fillId="0" borderId="0" xfId="0" applyFont="1"/>
    <xf numFmtId="0" fontId="8" fillId="3" borderId="0" xfId="0" applyFont="1" applyFill="1" applyAlignment="1">
      <alignment horizontal="left" vertical="center" indent="1"/>
    </xf>
    <xf numFmtId="0" fontId="3" fillId="0" borderId="0" xfId="0" applyFont="1"/>
    <xf numFmtId="0" fontId="2" fillId="0" borderId="0" xfId="0" applyFont="1"/>
    <xf numFmtId="0" fontId="1" fillId="2" borderId="0" xfId="0" applyFont="1" applyFill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/>
    <xf numFmtId="0" fontId="5" fillId="0" borderId="1" xfId="0" applyFont="1" applyBorder="1" applyAlignment="1">
      <alignment horizontal="left"/>
    </xf>
    <xf numFmtId="165" fontId="6" fillId="0" borderId="1" xfId="0" applyNumberFormat="1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left" vertical="center"/>
    </xf>
    <xf numFmtId="0" fontId="7" fillId="0" borderId="0" xfId="0" applyFont="1"/>
    <xf numFmtId="166" fontId="6" fillId="0" borderId="1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167" fontId="6" fillId="0" borderId="1" xfId="0" applyNumberFormat="1" applyFont="1" applyBorder="1" applyAlignment="1">
      <alignment horizontal="left" vertical="center"/>
    </xf>
    <xf numFmtId="168" fontId="6" fillId="0" borderId="1" xfId="0" applyNumberFormat="1" applyFont="1" applyBorder="1" applyAlignment="1">
      <alignment horizontal="left" vertical="center"/>
    </xf>
    <xf numFmtId="0" fontId="11" fillId="0" borderId="0" xfId="0" applyFont="1"/>
    <xf numFmtId="3" fontId="12" fillId="5" borderId="3" xfId="0" applyNumberFormat="1" applyFont="1" applyFill="1" applyBorder="1" applyAlignment="1">
      <alignment horizontal="right" vertical="center"/>
    </xf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left"/>
    </xf>
    <xf numFmtId="0" fontId="12" fillId="5" borderId="3" xfId="0" applyFont="1" applyFill="1" applyBorder="1" applyAlignment="1">
      <alignment horizontal="right" vertical="center"/>
    </xf>
    <xf numFmtId="4" fontId="12" fillId="5" borderId="3" xfId="0" applyNumberFormat="1" applyFont="1" applyFill="1" applyBorder="1" applyAlignment="1">
      <alignment horizontal="right" vertical="center"/>
    </xf>
    <xf numFmtId="169" fontId="12" fillId="5" borderId="3" xfId="0" applyNumberFormat="1" applyFont="1" applyFill="1" applyBorder="1" applyAlignment="1">
      <alignment horizontal="right" vertical="center"/>
    </xf>
    <xf numFmtId="0" fontId="15" fillId="0" borderId="0" xfId="0" applyFont="1"/>
    <xf numFmtId="164" fontId="4" fillId="0" borderId="0" xfId="0" applyNumberFormat="1" applyFont="1" applyAlignment="1">
      <alignment horizontal="right" vertical="center"/>
    </xf>
    <xf numFmtId="166" fontId="12" fillId="5" borderId="3" xfId="0" applyNumberFormat="1" applyFont="1" applyFill="1" applyBorder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170" fontId="12" fillId="5" borderId="3" xfId="0" applyNumberFormat="1" applyFont="1" applyFill="1" applyBorder="1" applyAlignment="1">
      <alignment horizontal="right" vertical="center"/>
    </xf>
    <xf numFmtId="167" fontId="12" fillId="5" borderId="3" xfId="0" applyNumberFormat="1" applyFont="1" applyFill="1" applyBorder="1" applyAlignment="1">
      <alignment horizontal="right" vertical="center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3" fontId="12" fillId="0" borderId="4" xfId="0" applyNumberFormat="1" applyFont="1" applyBorder="1" applyAlignment="1">
      <alignment horizontal="center"/>
    </xf>
    <xf numFmtId="3" fontId="4" fillId="0" borderId="0" xfId="0" applyNumberFormat="1" applyFont="1"/>
    <xf numFmtId="3" fontId="12" fillId="5" borderId="3" xfId="0" applyNumberFormat="1" applyFont="1" applyFill="1" applyBorder="1" applyAlignment="1">
      <alignment horizontal="center"/>
    </xf>
    <xf numFmtId="0" fontId="15" fillId="2" borderId="4" xfId="0" applyFont="1" applyFill="1" applyBorder="1"/>
    <xf numFmtId="0" fontId="11" fillId="0" borderId="4" xfId="0" applyFont="1" applyBorder="1"/>
    <xf numFmtId="165" fontId="17" fillId="0" borderId="4" xfId="0" applyNumberFormat="1" applyFont="1" applyBorder="1" applyAlignment="1">
      <alignment horizontal="right" vertical="center"/>
    </xf>
    <xf numFmtId="0" fontId="15" fillId="0" borderId="5" xfId="0" applyFont="1" applyBorder="1"/>
    <xf numFmtId="165" fontId="4" fillId="0" borderId="5" xfId="0" applyNumberFormat="1" applyFont="1" applyBorder="1" applyAlignment="1">
      <alignment horizontal="right" vertical="center"/>
    </xf>
    <xf numFmtId="0" fontId="0" fillId="0" borderId="5" xfId="0" applyBorder="1"/>
    <xf numFmtId="0" fontId="18" fillId="4" borderId="4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center"/>
    </xf>
    <xf numFmtId="171" fontId="12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65" fontId="17" fillId="0" borderId="0" xfId="0" applyNumberFormat="1" applyFont="1" applyAlignment="1">
      <alignment horizontal="right" vertical="center"/>
    </xf>
    <xf numFmtId="3" fontId="17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5" fontId="19" fillId="0" borderId="0" xfId="0" applyNumberFormat="1" applyFont="1" applyAlignment="1">
      <alignment horizontal="right" vertical="center"/>
    </xf>
    <xf numFmtId="171" fontId="17" fillId="0" borderId="0" xfId="0" applyNumberFormat="1" applyFont="1" applyAlignment="1">
      <alignment horizontal="center"/>
    </xf>
    <xf numFmtId="165" fontId="17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right"/>
    </xf>
    <xf numFmtId="164" fontId="12" fillId="0" borderId="0" xfId="0" applyNumberFormat="1" applyFont="1" applyAlignment="1">
      <alignment horizontal="right"/>
    </xf>
    <xf numFmtId="164" fontId="17" fillId="0" borderId="0" xfId="0" applyNumberFormat="1" applyFont="1" applyAlignment="1">
      <alignment horizontal="right"/>
    </xf>
    <xf numFmtId="164" fontId="20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right"/>
    </xf>
    <xf numFmtId="164" fontId="22" fillId="0" borderId="0" xfId="0" applyNumberFormat="1" applyFont="1" applyAlignment="1">
      <alignment horizontal="right"/>
    </xf>
    <xf numFmtId="166" fontId="17" fillId="0" borderId="0" xfId="0" applyNumberFormat="1" applyFont="1" applyAlignment="1">
      <alignment horizontal="right"/>
    </xf>
    <xf numFmtId="3" fontId="12" fillId="2" borderId="0" xfId="0" applyNumberFormat="1" applyFont="1" applyFill="1" applyAlignment="1">
      <alignment horizontal="center"/>
    </xf>
    <xf numFmtId="171" fontId="17" fillId="2" borderId="0" xfId="0" applyNumberFormat="1" applyFont="1" applyFill="1" applyAlignment="1">
      <alignment horizontal="center"/>
    </xf>
    <xf numFmtId="165" fontId="17" fillId="2" borderId="0" xfId="0" applyNumberFormat="1" applyFont="1" applyFill="1" applyAlignment="1">
      <alignment horizontal="right"/>
    </xf>
    <xf numFmtId="164" fontId="19" fillId="2" borderId="0" xfId="0" applyNumberFormat="1" applyFont="1" applyFill="1" applyAlignment="1">
      <alignment horizontal="right"/>
    </xf>
    <xf numFmtId="164" fontId="12" fillId="2" borderId="0" xfId="0" applyNumberFormat="1" applyFont="1" applyFill="1" applyAlignment="1">
      <alignment horizontal="right"/>
    </xf>
    <xf numFmtId="164" fontId="17" fillId="2" borderId="0" xfId="0" applyNumberFormat="1" applyFont="1" applyFill="1" applyAlignment="1">
      <alignment horizontal="right"/>
    </xf>
    <xf numFmtId="164" fontId="20" fillId="2" borderId="0" xfId="0" applyNumberFormat="1" applyFont="1" applyFill="1" applyAlignment="1">
      <alignment horizontal="right"/>
    </xf>
    <xf numFmtId="164" fontId="21" fillId="2" borderId="0" xfId="0" applyNumberFormat="1" applyFont="1" applyFill="1" applyAlignment="1">
      <alignment horizontal="right"/>
    </xf>
    <xf numFmtId="164" fontId="22" fillId="2" borderId="0" xfId="0" applyNumberFormat="1" applyFont="1" applyFill="1" applyAlignment="1">
      <alignment horizontal="right"/>
    </xf>
    <xf numFmtId="166" fontId="17" fillId="2" borderId="0" xfId="0" applyNumberFormat="1" applyFont="1" applyFill="1" applyAlignment="1">
      <alignment horizontal="right"/>
    </xf>
    <xf numFmtId="165" fontId="12" fillId="0" borderId="4" xfId="0" applyNumberFormat="1" applyFont="1" applyBorder="1" applyAlignment="1">
      <alignment horizontal="right" vertical="center"/>
    </xf>
    <xf numFmtId="164" fontId="12" fillId="0" borderId="4" xfId="0" applyNumberFormat="1" applyFont="1" applyBorder="1" applyAlignment="1">
      <alignment horizontal="right" vertical="center"/>
    </xf>
    <xf numFmtId="164" fontId="23" fillId="0" borderId="4" xfId="0" applyNumberFormat="1" applyFont="1" applyBorder="1" applyAlignment="1">
      <alignment horizontal="right" vertical="center"/>
    </xf>
    <xf numFmtId="164" fontId="21" fillId="0" borderId="4" xfId="0" applyNumberFormat="1" applyFont="1" applyBorder="1" applyAlignment="1">
      <alignment horizontal="right" vertical="center"/>
    </xf>
    <xf numFmtId="164" fontId="22" fillId="0" borderId="4" xfId="0" applyNumberFormat="1" applyFont="1" applyBorder="1" applyAlignment="1">
      <alignment horizontal="right" vertical="center"/>
    </xf>
    <xf numFmtId="166" fontId="17" fillId="0" borderId="4" xfId="0" applyNumberFormat="1" applyFont="1" applyBorder="1" applyAlignment="1">
      <alignment horizontal="right" vertical="center"/>
    </xf>
    <xf numFmtId="166" fontId="12" fillId="0" borderId="4" xfId="0" applyNumberFormat="1" applyFont="1" applyBorder="1" applyAlignment="1">
      <alignment horizontal="right" vertical="center"/>
    </xf>
    <xf numFmtId="0" fontId="11" fillId="2" borderId="4" xfId="0" applyFont="1" applyFill="1" applyBorder="1"/>
    <xf numFmtId="165" fontId="12" fillId="2" borderId="4" xfId="0" applyNumberFormat="1" applyFont="1" applyFill="1" applyBorder="1" applyAlignment="1">
      <alignment horizontal="right" vertical="center"/>
    </xf>
    <xf numFmtId="164" fontId="12" fillId="2" borderId="4" xfId="0" applyNumberFormat="1" applyFont="1" applyFill="1" applyBorder="1" applyAlignment="1">
      <alignment horizontal="right" vertical="center"/>
    </xf>
    <xf numFmtId="164" fontId="23" fillId="2" borderId="4" xfId="0" applyNumberFormat="1" applyFont="1" applyFill="1" applyBorder="1" applyAlignment="1">
      <alignment horizontal="right" vertical="center"/>
    </xf>
    <xf numFmtId="164" fontId="21" fillId="2" borderId="4" xfId="0" applyNumberFormat="1" applyFont="1" applyFill="1" applyBorder="1" applyAlignment="1">
      <alignment horizontal="right" vertical="center"/>
    </xf>
    <xf numFmtId="164" fontId="22" fillId="2" borderId="4" xfId="0" applyNumberFormat="1" applyFont="1" applyFill="1" applyBorder="1" applyAlignment="1">
      <alignment horizontal="right" vertical="center"/>
    </xf>
    <xf numFmtId="166" fontId="17" fillId="2" borderId="4" xfId="0" applyNumberFormat="1" applyFont="1" applyFill="1" applyBorder="1" applyAlignment="1">
      <alignment horizontal="right" vertical="center"/>
    </xf>
    <xf numFmtId="166" fontId="12" fillId="2" borderId="4" xfId="0" applyNumberFormat="1" applyFont="1" applyFill="1" applyBorder="1" applyAlignment="1">
      <alignment horizontal="right" vertical="center"/>
    </xf>
    <xf numFmtId="164" fontId="4" fillId="0" borderId="5" xfId="0" applyNumberFormat="1" applyFont="1" applyBorder="1" applyAlignment="1">
      <alignment horizontal="right" vertical="center"/>
    </xf>
    <xf numFmtId="166" fontId="4" fillId="0" borderId="5" xfId="0" applyNumberFormat="1" applyFont="1" applyBorder="1" applyAlignment="1">
      <alignment horizontal="right" vertical="center"/>
    </xf>
    <xf numFmtId="0" fontId="16" fillId="6" borderId="0" xfId="0" applyFont="1" applyFill="1" applyAlignment="1">
      <alignment horizontal="center" vertical="center"/>
    </xf>
    <xf numFmtId="0" fontId="0" fillId="2" borderId="0" xfId="0" applyFill="1"/>
    <xf numFmtId="0" fontId="26" fillId="0" borderId="0" xfId="0" applyFont="1"/>
    <xf numFmtId="0" fontId="16" fillId="7" borderId="0" xfId="0" applyFont="1" applyFill="1" applyAlignment="1">
      <alignment horizontal="center" vertical="center"/>
    </xf>
    <xf numFmtId="0" fontId="16" fillId="4" borderId="4" xfId="0" applyFont="1" applyFill="1" applyBorder="1" applyAlignment="1">
      <alignment horizontal="center"/>
    </xf>
    <xf numFmtId="0" fontId="28" fillId="0" borderId="4" xfId="0" applyFont="1" applyBorder="1" applyAlignment="1">
      <alignment horizontal="left"/>
    </xf>
    <xf numFmtId="0" fontId="28" fillId="0" borderId="4" xfId="0" applyFont="1" applyBorder="1" applyAlignment="1">
      <alignment horizontal="center"/>
    </xf>
    <xf numFmtId="3" fontId="12" fillId="5" borderId="4" xfId="0" applyNumberFormat="1" applyFont="1" applyFill="1" applyBorder="1" applyAlignment="1">
      <alignment horizontal="center"/>
    </xf>
    <xf numFmtId="164" fontId="23" fillId="0" borderId="4" xfId="0" applyNumberFormat="1" applyFont="1" applyBorder="1"/>
    <xf numFmtId="164" fontId="21" fillId="0" borderId="4" xfId="0" applyNumberFormat="1" applyFont="1" applyBorder="1"/>
    <xf numFmtId="164" fontId="22" fillId="0" borderId="4" xfId="0" applyNumberFormat="1" applyFont="1" applyBorder="1"/>
    <xf numFmtId="166" fontId="17" fillId="0" borderId="4" xfId="0" applyNumberFormat="1" applyFont="1" applyBorder="1"/>
    <xf numFmtId="3" fontId="29" fillId="0" borderId="0" xfId="0" applyNumberFormat="1" applyFont="1"/>
    <xf numFmtId="164" fontId="23" fillId="2" borderId="4" xfId="0" applyNumberFormat="1" applyFont="1" applyFill="1" applyBorder="1"/>
    <xf numFmtId="164" fontId="21" fillId="2" borderId="4" xfId="0" applyNumberFormat="1" applyFont="1" applyFill="1" applyBorder="1"/>
    <xf numFmtId="164" fontId="22" fillId="2" borderId="4" xfId="0" applyNumberFormat="1" applyFont="1" applyFill="1" applyBorder="1"/>
    <xf numFmtId="166" fontId="17" fillId="2" borderId="4" xfId="0" applyNumberFormat="1" applyFont="1" applyFill="1" applyBorder="1"/>
    <xf numFmtId="164" fontId="12" fillId="2" borderId="4" xfId="0" applyNumberFormat="1" applyFont="1" applyFill="1" applyBorder="1"/>
    <xf numFmtId="164" fontId="12" fillId="0" borderId="4" xfId="0" applyNumberFormat="1" applyFont="1" applyBorder="1"/>
    <xf numFmtId="3" fontId="30" fillId="0" borderId="0" xfId="0" applyNumberFormat="1" applyFont="1" applyAlignment="1">
      <alignment horizontal="right" vertical="center"/>
    </xf>
    <xf numFmtId="164" fontId="12" fillId="0" borderId="0" xfId="0" applyNumberFormat="1" applyFont="1" applyAlignment="1">
      <alignment horizontal="right" vertical="center"/>
    </xf>
    <xf numFmtId="164" fontId="12" fillId="0" borderId="0" xfId="0" applyNumberFormat="1" applyFont="1"/>
    <xf numFmtId="0" fontId="13" fillId="0" borderId="4" xfId="0" applyFont="1" applyBorder="1"/>
    <xf numFmtId="9" fontId="12" fillId="0" borderId="4" xfId="0" applyNumberFormat="1" applyFont="1" applyBorder="1"/>
    <xf numFmtId="166" fontId="4" fillId="0" borderId="4" xfId="0" applyNumberFormat="1" applyFont="1" applyBorder="1"/>
    <xf numFmtId="166" fontId="22" fillId="0" borderId="4" xfId="0" applyNumberFormat="1" applyFont="1" applyBorder="1" applyAlignment="1">
      <alignment horizontal="right" vertical="center"/>
    </xf>
    <xf numFmtId="166" fontId="23" fillId="0" borderId="4" xfId="0" applyNumberFormat="1" applyFont="1" applyBorder="1" applyAlignment="1">
      <alignment horizontal="right" vertical="center"/>
    </xf>
    <xf numFmtId="169" fontId="19" fillId="0" borderId="4" xfId="0" applyNumberFormat="1" applyFont="1" applyBorder="1" applyAlignment="1">
      <alignment horizontal="right" vertical="center"/>
    </xf>
    <xf numFmtId="167" fontId="17" fillId="0" borderId="0" xfId="0" applyNumberFormat="1" applyFont="1" applyAlignment="1">
      <alignment horizontal="right" vertical="center"/>
    </xf>
    <xf numFmtId="167" fontId="4" fillId="0" borderId="0" xfId="0" applyNumberFormat="1" applyFont="1" applyAlignment="1">
      <alignment horizontal="right" vertical="center"/>
    </xf>
    <xf numFmtId="172" fontId="12" fillId="5" borderId="3" xfId="0" applyNumberFormat="1" applyFont="1" applyFill="1" applyBorder="1"/>
    <xf numFmtId="173" fontId="12" fillId="5" borderId="3" xfId="0" applyNumberFormat="1" applyFont="1" applyFill="1" applyBorder="1"/>
    <xf numFmtId="164" fontId="17" fillId="0" borderId="0" xfId="0" applyNumberFormat="1" applyFont="1" applyAlignment="1">
      <alignment horizontal="right" vertical="center"/>
    </xf>
    <xf numFmtId="170" fontId="17" fillId="0" borderId="0" xfId="0" applyNumberFormat="1" applyFont="1" applyAlignment="1">
      <alignment horizontal="right" vertical="center"/>
    </xf>
    <xf numFmtId="167" fontId="20" fillId="0" borderId="0" xfId="0" applyNumberFormat="1" applyFont="1" applyAlignment="1">
      <alignment horizontal="right" vertical="center"/>
    </xf>
    <xf numFmtId="167" fontId="31" fillId="0" borderId="0" xfId="0" applyNumberFormat="1" applyFont="1" applyAlignment="1">
      <alignment horizontal="right" vertical="center"/>
    </xf>
    <xf numFmtId="168" fontId="32" fillId="0" borderId="0" xfId="0" applyNumberFormat="1" applyFont="1" applyAlignment="1">
      <alignment horizontal="right" vertical="center"/>
    </xf>
    <xf numFmtId="166" fontId="17" fillId="0" borderId="0" xfId="0" applyNumberFormat="1" applyFont="1" applyAlignment="1">
      <alignment horizontal="right" vertical="center"/>
    </xf>
    <xf numFmtId="167" fontId="32" fillId="0" borderId="0" xfId="0" applyNumberFormat="1" applyFont="1" applyAlignment="1">
      <alignment horizontal="right" vertical="center"/>
    </xf>
    <xf numFmtId="166" fontId="32" fillId="0" borderId="0" xfId="0" applyNumberFormat="1" applyFont="1" applyAlignment="1">
      <alignment horizontal="right" vertical="center"/>
    </xf>
    <xf numFmtId="0" fontId="11" fillId="0" borderId="4" xfId="0" applyFont="1" applyBorder="1" applyAlignment="1">
      <alignment horizontal="center"/>
    </xf>
    <xf numFmtId="167" fontId="22" fillId="0" borderId="4" xfId="0" applyNumberFormat="1" applyFont="1" applyBorder="1" applyAlignment="1">
      <alignment horizontal="right" vertical="center"/>
    </xf>
    <xf numFmtId="167" fontId="12" fillId="0" borderId="4" xfId="0" applyNumberFormat="1" applyFont="1" applyBorder="1"/>
    <xf numFmtId="167" fontId="12" fillId="0" borderId="4" xfId="0" applyNumberFormat="1" applyFont="1" applyBorder="1" applyAlignment="1">
      <alignment horizontal="right" vertical="center"/>
    </xf>
    <xf numFmtId="167" fontId="17" fillId="0" borderId="4" xfId="0" applyNumberFormat="1" applyFont="1" applyBorder="1" applyAlignment="1">
      <alignment horizontal="right" vertical="center"/>
    </xf>
    <xf numFmtId="167" fontId="23" fillId="0" borderId="4" xfId="0" applyNumberFormat="1" applyFont="1" applyBorder="1" applyAlignment="1">
      <alignment horizontal="right" vertical="center"/>
    </xf>
    <xf numFmtId="3" fontId="12" fillId="2" borderId="4" xfId="0" applyNumberFormat="1" applyFont="1" applyFill="1" applyBorder="1" applyAlignment="1">
      <alignment horizontal="center"/>
    </xf>
    <xf numFmtId="167" fontId="12" fillId="2" borderId="4" xfId="0" applyNumberFormat="1" applyFont="1" applyFill="1" applyBorder="1"/>
    <xf numFmtId="167" fontId="22" fillId="2" borderId="4" xfId="0" applyNumberFormat="1" applyFont="1" applyFill="1" applyBorder="1" applyAlignment="1">
      <alignment horizontal="right" vertical="center"/>
    </xf>
    <xf numFmtId="167" fontId="23" fillId="2" borderId="4" xfId="0" applyNumberFormat="1" applyFont="1" applyFill="1" applyBorder="1" applyAlignment="1">
      <alignment horizontal="right" vertical="center"/>
    </xf>
    <xf numFmtId="167" fontId="12" fillId="2" borderId="4" xfId="0" applyNumberFormat="1" applyFont="1" applyFill="1" applyBorder="1" applyAlignment="1">
      <alignment horizontal="right" vertical="center"/>
    </xf>
    <xf numFmtId="167" fontId="17" fillId="2" borderId="4" xfId="0" applyNumberFormat="1" applyFont="1" applyFill="1" applyBorder="1" applyAlignment="1">
      <alignment horizontal="right" vertical="center"/>
    </xf>
    <xf numFmtId="167" fontId="12" fillId="0" borderId="0" xfId="0" applyNumberFormat="1" applyFont="1" applyAlignment="1">
      <alignment horizontal="right" vertical="center"/>
    </xf>
    <xf numFmtId="167" fontId="23" fillId="0" borderId="0" xfId="0" applyNumberFormat="1" applyFont="1" applyAlignment="1">
      <alignment horizontal="right" vertical="center"/>
    </xf>
    <xf numFmtId="167" fontId="25" fillId="0" borderId="0" xfId="0" applyNumberFormat="1" applyFont="1" applyAlignment="1">
      <alignment horizontal="right" vertical="center"/>
    </xf>
    <xf numFmtId="0" fontId="0" fillId="8" borderId="0" xfId="0" applyFill="1"/>
    <xf numFmtId="0" fontId="15" fillId="2" borderId="0" xfId="0" applyFont="1" applyFill="1"/>
  </cellXfs>
  <cellStyles count="1">
    <cellStyle name="Normal" xfId="0" builtinId="0"/>
  </cellStyles>
  <dxfs count="2">
    <dxf>
      <fill>
        <patternFill>
          <bgColor rgb="FFF3DEDE"/>
        </patternFill>
      </fill>
    </dxf>
    <dxf>
      <fill>
        <patternFill>
          <bgColor rgb="FFF6E8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92A"/>
      <rgbColor rgb="FF800080"/>
      <rgbColor rgb="FF008080"/>
      <rgbColor rgb="FFB3B3B3"/>
      <rgbColor rgb="FF878787"/>
      <rgbColor rgb="FF9999FF"/>
      <rgbColor rgb="FFA13E3E"/>
      <rgbColor rgb="FFFFF9E8"/>
      <rgbColor rgb="FFE4E8ED"/>
      <rgbColor rgb="FF660066"/>
      <rgbColor rgb="FFFF8080"/>
      <rgbColor rgb="FF2E5EA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7"/>
      <rgbColor rgb="FFCCFFCC"/>
      <rgbColor rgb="FFF6E8D3"/>
      <rgbColor rgb="FF99CCFF"/>
      <rgbColor rgb="FFFF99CC"/>
      <rgbColor rgb="FFCC99FF"/>
      <rgbColor rgb="FFF3DEDE"/>
      <rgbColor rgb="FF3366FF"/>
      <rgbColor rgb="FF33CCCC"/>
      <rgbColor rgb="FF99CC00"/>
      <rgbColor rgb="FFFFCC00"/>
      <rgbColor rgb="FFC9A227"/>
      <rgbColor rgb="FFFF6600"/>
      <rgbColor rgb="FF6B7A8F"/>
      <rgbColor rgb="FFA8B3C0"/>
      <rgbColor rgb="FF003366"/>
      <rgbColor rgb="FF3E7A5C"/>
      <rgbColor rgb="FF003300"/>
      <rgbColor rgb="FF1A2332"/>
      <rgbColor rgb="FF993300"/>
      <rgbColor rgb="FF993366"/>
      <rgbColor rgb="FF3D4A5C"/>
      <rgbColor rgb="FF2430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Water Supplied vs Demand vs Shortage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Summary'!$E$5</c:f>
              <c:strCache>
                <c:ptCount val="1"/>
                <c:pt idx="0">
                  <c:v>Demand
(L)</c:v>
                </c:pt>
              </c:strCache>
            </c:strRef>
          </c:tx>
          <c:spPr>
            <a:solidFill>
              <a:srgbClr val="A8B3C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Summary'!$E$6:$E$17</c:f>
              <c:numCache>
                <c:formatCode>#,##0" L"</c:formatCode>
                <c:ptCount val="12"/>
                <c:pt idx="0">
                  <c:v>8370</c:v>
                </c:pt>
                <c:pt idx="1">
                  <c:v>7560</c:v>
                </c:pt>
                <c:pt idx="2">
                  <c:v>8370</c:v>
                </c:pt>
                <c:pt idx="3">
                  <c:v>8100</c:v>
                </c:pt>
                <c:pt idx="4">
                  <c:v>8370</c:v>
                </c:pt>
                <c:pt idx="5">
                  <c:v>8100</c:v>
                </c:pt>
                <c:pt idx="6">
                  <c:v>8370</c:v>
                </c:pt>
                <c:pt idx="7">
                  <c:v>8370</c:v>
                </c:pt>
                <c:pt idx="8">
                  <c:v>8100</c:v>
                </c:pt>
                <c:pt idx="9">
                  <c:v>8370</c:v>
                </c:pt>
                <c:pt idx="10">
                  <c:v>8100</c:v>
                </c:pt>
                <c:pt idx="11">
                  <c:v>8370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1-4280-80EE-263695D35370}"/>
            </c:ext>
          </c:extLst>
        </c:ser>
        <c:ser>
          <c:idx val="1"/>
          <c:order val="1"/>
          <c:tx>
            <c:strRef>
              <c:f>'Monthly Summary'!$F$5</c:f>
              <c:strCache>
                <c:ptCount val="1"/>
                <c:pt idx="0">
                  <c:v>Water
Supplied (L)</c:v>
                </c:pt>
              </c:strCache>
            </c:strRef>
          </c:tx>
          <c:spPr>
            <a:solidFill>
              <a:srgbClr val="3E7A5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Summary'!$F$6:$F$17</c:f>
              <c:numCache>
                <c:formatCode>#,##0" L"</c:formatCode>
                <c:ptCount val="12"/>
                <c:pt idx="0">
                  <c:v>1144.6410000000001</c:v>
                </c:pt>
                <c:pt idx="1">
                  <c:v>172.32049999999998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172.32050000000004</c:v>
                </c:pt>
                <c:pt idx="6">
                  <c:v>7560</c:v>
                </c:pt>
                <c:pt idx="7">
                  <c:v>8370</c:v>
                </c:pt>
                <c:pt idx="8">
                  <c:v>5265.4214999999995</c:v>
                </c:pt>
                <c:pt idx="9">
                  <c:v>172.32049999999998</c:v>
                </c:pt>
                <c:pt idx="10">
                  <c:v>172.32049999999998</c:v>
                </c:pt>
                <c:pt idx="11">
                  <c:v>516.9615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41-4280-80EE-263695D35370}"/>
            </c:ext>
          </c:extLst>
        </c:ser>
        <c:ser>
          <c:idx val="2"/>
          <c:order val="2"/>
          <c:tx>
            <c:strRef>
              <c:f>'Monthly Summary'!$G$5</c:f>
              <c:strCache>
                <c:ptCount val="1"/>
                <c:pt idx="0">
                  <c:v>Overflow
(L)</c:v>
                </c:pt>
              </c:strCache>
            </c:strRef>
          </c:tx>
          <c:spPr>
            <a:solidFill>
              <a:srgbClr val="B8792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Summary'!$G$6:$G$17</c:f>
              <c:numCache>
                <c:formatCode>#,##0" L"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41-4280-80EE-263695D35370}"/>
            </c:ext>
          </c:extLst>
        </c:ser>
        <c:ser>
          <c:idx val="3"/>
          <c:order val="3"/>
          <c:tx>
            <c:strRef>
              <c:f>'Monthly Summary'!$H$5</c:f>
              <c:strCache>
                <c:ptCount val="1"/>
                <c:pt idx="0">
                  <c:v>Shortage
(L)</c:v>
                </c:pt>
              </c:strCache>
            </c:strRef>
          </c:tx>
          <c:spPr>
            <a:solidFill>
              <a:srgbClr val="A13E3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Summary'!$H$6:$H$17</c:f>
              <c:numCache>
                <c:formatCode>#,##0" L"</c:formatCode>
                <c:ptCount val="12"/>
                <c:pt idx="0">
                  <c:v>7225.3590000000004</c:v>
                </c:pt>
                <c:pt idx="1">
                  <c:v>7387.6795000000002</c:v>
                </c:pt>
                <c:pt idx="2">
                  <c:v>8370</c:v>
                </c:pt>
                <c:pt idx="3">
                  <c:v>8100</c:v>
                </c:pt>
                <c:pt idx="4">
                  <c:v>8370</c:v>
                </c:pt>
                <c:pt idx="5">
                  <c:v>7927.6795000000002</c:v>
                </c:pt>
                <c:pt idx="6">
                  <c:v>810</c:v>
                </c:pt>
                <c:pt idx="7">
                  <c:v>0</c:v>
                </c:pt>
                <c:pt idx="8">
                  <c:v>2834.578500000001</c:v>
                </c:pt>
                <c:pt idx="9">
                  <c:v>8197.6795000000002</c:v>
                </c:pt>
                <c:pt idx="10">
                  <c:v>7927.6795000000002</c:v>
                </c:pt>
                <c:pt idx="11">
                  <c:v>7853.0385000000006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41-4280-80EE-263695D35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757988"/>
        <c:axId val="960308"/>
      </c:barChart>
      <c:catAx>
        <c:axId val="967579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0308"/>
        <c:crosses val="autoZero"/>
        <c:auto val="1"/>
        <c:lblAlgn val="ctr"/>
        <c:lblOffset val="100"/>
        <c:noMultiLvlLbl val="0"/>
      </c:catAx>
      <c:valAx>
        <c:axId val="9603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Litres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L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7579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Rainfall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Summary'!$C$5</c:f>
              <c:strCache>
                <c:ptCount val="1"/>
                <c:pt idx="0">
                  <c:v>Rainfall
(mm)</c:v>
                </c:pt>
              </c:strCache>
            </c:strRef>
          </c:tx>
          <c:spPr>
            <a:ln w="24120">
              <a:solidFill>
                <a:srgbClr val="2E5EA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Summary'!$C$6:$C$17</c:f>
              <c:numCache>
                <c:formatCode>#,##0.0" mm"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65</c:v>
                </c:pt>
                <c:pt idx="7">
                  <c:v>57</c:v>
                </c:pt>
                <c:pt idx="8">
                  <c:v>15</c:v>
                </c:pt>
                <c:pt idx="9">
                  <c:v>2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C3-4369-9287-D4B5B98B6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4270658"/>
        <c:axId val="94229016"/>
      </c:lineChart>
      <c:catAx>
        <c:axId val="542706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229016"/>
        <c:crosses val="autoZero"/>
        <c:auto val="1"/>
        <c:lblAlgn val="ctr"/>
        <c:lblOffset val="100"/>
        <c:noMultiLvlLbl val="0"/>
      </c:catAx>
      <c:valAx>
        <c:axId val="942290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&quot; mm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2706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Annual Water Supplied vs Tank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'Tank Optimization'!$C$33</c:f>
              <c:strCache>
                <c:ptCount val="1"/>
                <c:pt idx="0">
                  <c:v>Est. Annual
Supplied (L)</c:v>
                </c:pt>
              </c:strCache>
            </c:strRef>
          </c:tx>
          <c:spPr>
            <a:ln w="24120">
              <a:solidFill>
                <a:srgbClr val="2E5EAA"/>
              </a:solidFill>
              <a:round/>
            </a:ln>
          </c:spPr>
          <c:marker>
            <c:symbol val="circle"/>
            <c:size val="6"/>
            <c:spPr>
              <a:solidFill>
                <a:srgbClr val="2E5EA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'Tank Optimization'!$B$34:$B$48</c:f>
              <c:numCache>
                <c:formatCode>#,##0</c:formatCode>
                <c:ptCount val="1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4000</c:v>
                </c:pt>
                <c:pt idx="7">
                  <c:v>5000</c:v>
                </c:pt>
                <c:pt idx="8">
                  <c:v>6000</c:v>
                </c:pt>
                <c:pt idx="9">
                  <c:v>7000</c:v>
                </c:pt>
                <c:pt idx="10">
                  <c:v>8000</c:v>
                </c:pt>
                <c:pt idx="11">
                  <c:v>10000</c:v>
                </c:pt>
                <c:pt idx="12">
                  <c:v>12000</c:v>
                </c:pt>
                <c:pt idx="13">
                  <c:v>15000</c:v>
                </c:pt>
                <c:pt idx="14">
                  <c:v>20000</c:v>
                </c:pt>
              </c:numCache>
            </c:numRef>
          </c:cat>
          <c:val>
            <c:numRef>
              <c:f>'Tank Optimization'!$C$34:$C$48</c:f>
              <c:numCache>
                <c:formatCode>#,##0" L"</c:formatCode>
                <c:ptCount val="15"/>
                <c:pt idx="0">
                  <c:v>22326.576499999999</c:v>
                </c:pt>
                <c:pt idx="1">
                  <c:v>22826.576499999999</c:v>
                </c:pt>
                <c:pt idx="2">
                  <c:v>23326.576499999999</c:v>
                </c:pt>
                <c:pt idx="3">
                  <c:v>23826.576499999999</c:v>
                </c:pt>
                <c:pt idx="4">
                  <c:v>24326.576499999999</c:v>
                </c:pt>
                <c:pt idx="5">
                  <c:v>24826.576499999999</c:v>
                </c:pt>
                <c:pt idx="6">
                  <c:v>25826.576499999999</c:v>
                </c:pt>
                <c:pt idx="7">
                  <c:v>26109.677499999998</c:v>
                </c:pt>
                <c:pt idx="8">
                  <c:v>26109.677499999998</c:v>
                </c:pt>
                <c:pt idx="9">
                  <c:v>26109.677499999998</c:v>
                </c:pt>
                <c:pt idx="10">
                  <c:v>26109.677499999998</c:v>
                </c:pt>
                <c:pt idx="11">
                  <c:v>26109.677499999998</c:v>
                </c:pt>
                <c:pt idx="12">
                  <c:v>26109.677499999998</c:v>
                </c:pt>
                <c:pt idx="13">
                  <c:v>26109.677499999998</c:v>
                </c:pt>
                <c:pt idx="14">
                  <c:v>26109.677499999998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34-4903-9C59-F19C45D05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5021958"/>
        <c:axId val="44053614"/>
      </c:lineChart>
      <c:catAx>
        <c:axId val="550219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Tank Capacity (L)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053614"/>
        <c:crosses val="autoZero"/>
        <c:auto val="1"/>
        <c:lblAlgn val="ctr"/>
        <c:lblOffset val="100"/>
        <c:noMultiLvlLbl val="0"/>
      </c:catAx>
      <c:valAx>
        <c:axId val="440536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Annual Water Supplied (L)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L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0219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Sensitivity Tornado — Reliability Swing by Parameter (pp)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Sensitivity!$E$33</c:f>
              <c:strCache>
                <c:ptCount val="1"/>
                <c:pt idx="0">
                  <c:v>Swing (pp)</c:v>
                </c:pt>
              </c:strCache>
            </c:strRef>
          </c:tx>
          <c:spPr>
            <a:solidFill>
              <a:srgbClr val="2E5EA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Sensitivity!$B$34:$B$38</c:f>
              <c:strCache>
                <c:ptCount val="5"/>
                <c:pt idx="0">
                  <c:v>Roof Area</c:v>
                </c:pt>
                <c:pt idx="1">
                  <c:v>Rainfall (all months)</c:v>
                </c:pt>
                <c:pt idx="2">
                  <c:v>Water Demand</c:v>
                </c:pt>
                <c:pt idx="3">
                  <c:v>Collection Efficiency</c:v>
                </c:pt>
                <c:pt idx="4">
                  <c:v>Tank Capacity</c:v>
                </c:pt>
              </c:strCache>
            </c:strRef>
          </c:cat>
          <c:val>
            <c:numRef>
              <c:f>Sensitivity!$E$34:$E$38</c:f>
              <c:numCache>
                <c:formatCode>#,##0.0</c:formatCode>
                <c:ptCount val="5"/>
                <c:pt idx="0">
                  <c:v>9.484676560121768</c:v>
                </c:pt>
                <c:pt idx="1">
                  <c:v>9.484676560121768</c:v>
                </c:pt>
                <c:pt idx="2">
                  <c:v>3.2127874175545328</c:v>
                </c:pt>
                <c:pt idx="3">
                  <c:v>9.4846765601217626</c:v>
                </c:pt>
                <c:pt idx="4">
                  <c:v>0.54094469812277501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B6B-894F-93DC224A6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216424"/>
        <c:axId val="22771195"/>
      </c:barChart>
      <c:catAx>
        <c:axId val="6421642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771195"/>
        <c:crosses val="autoZero"/>
        <c:auto val="1"/>
        <c:lblAlgn val="ctr"/>
        <c:lblOffset val="100"/>
        <c:noMultiLvlLbl val="0"/>
      </c:catAx>
      <c:valAx>
        <c:axId val="2277119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2164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Cumulative Cash Flow Over Project Life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Economics!$G$34</c:f>
              <c:strCache>
                <c:ptCount val="1"/>
                <c:pt idx="0">
                  <c:v>Cumulative
Cash Flow (PKR)</c:v>
                </c:pt>
              </c:strCache>
            </c:strRef>
          </c:tx>
          <c:spPr>
            <a:ln w="24120">
              <a:solidFill>
                <a:srgbClr val="2E5EA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Economics!$B$35:$B$55</c:f>
              <c:numCache>
                <c:formatCode>#,##0</c:formatCode>
                <c:ptCount val="21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Economics!$G$35:$G$55</c:f>
              <c:numCache>
                <c:formatCode>"PKR "#,##0</c:formatCode>
                <c:ptCount val="21"/>
                <c:pt idx="0">
                  <c:v>-130000</c:v>
                </c:pt>
                <c:pt idx="1">
                  <c:v>-111542.71405</c:v>
                </c:pt>
                <c:pt idx="2">
                  <c:v>-93085.42809999999</c:v>
                </c:pt>
                <c:pt idx="3">
                  <c:v>-74628.142149999985</c:v>
                </c:pt>
                <c:pt idx="4">
                  <c:v>-56170.85619999998</c:v>
                </c:pt>
                <c:pt idx="5">
                  <c:v>-37713.570249999975</c:v>
                </c:pt>
                <c:pt idx="6">
                  <c:v>-19256.28429999997</c:v>
                </c:pt>
                <c:pt idx="7">
                  <c:v>-798.99834999996528</c:v>
                </c:pt>
                <c:pt idx="8">
                  <c:v>17658.28760000004</c:v>
                </c:pt>
                <c:pt idx="9">
                  <c:v>36115.573550000045</c:v>
                </c:pt>
                <c:pt idx="10">
                  <c:v>54572.85950000005</c:v>
                </c:pt>
                <c:pt idx="11">
                  <c:v>73030.145450000055</c:v>
                </c:pt>
                <c:pt idx="12">
                  <c:v>91487.43140000006</c:v>
                </c:pt>
                <c:pt idx="13">
                  <c:v>109944.71735000006</c:v>
                </c:pt>
                <c:pt idx="14">
                  <c:v>128402.00330000007</c:v>
                </c:pt>
                <c:pt idx="15">
                  <c:v>146859.28925000009</c:v>
                </c:pt>
                <c:pt idx="16">
                  <c:v>165316.57520000008</c:v>
                </c:pt>
                <c:pt idx="17">
                  <c:v>183773.86115000007</c:v>
                </c:pt>
                <c:pt idx="18">
                  <c:v>202231.14710000006</c:v>
                </c:pt>
                <c:pt idx="19">
                  <c:v>220688.43305000005</c:v>
                </c:pt>
                <c:pt idx="20">
                  <c:v>239145.71900000004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14-4BFC-9C7E-CAD9C08CD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8644565"/>
        <c:axId val="32767656"/>
      </c:lineChart>
      <c:catAx>
        <c:axId val="586445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767656"/>
        <c:crosses val="autoZero"/>
        <c:auto val="1"/>
        <c:lblAlgn val="ctr"/>
        <c:lblOffset val="100"/>
        <c:noMultiLvlLbl val="0"/>
      </c:catAx>
      <c:valAx>
        <c:axId val="327676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Cumulative Cash Flow (PKR)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PKR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6445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Tank Storage Level Over Time (365 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Simulation'!$K$5</c:f>
              <c:strCache>
                <c:ptCount val="1"/>
                <c:pt idx="0">
                  <c:v>Final Tank
Level (L)</c:v>
                </c:pt>
              </c:strCache>
            </c:strRef>
          </c:tx>
          <c:spPr>
            <a:ln w="14040">
              <a:solidFill>
                <a:srgbClr val="2E5EA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'Daily Simulation'!$B$6:$B$370</c:f>
              <c:numCache>
                <c:formatCode>#,##0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'Daily Simulation'!$K$6:$K$370</c:f>
              <c:numCache>
                <c:formatCode>#,##0" L"</c:formatCode>
                <c:ptCount val="365"/>
                <c:pt idx="0">
                  <c:v>730</c:v>
                </c:pt>
                <c:pt idx="1">
                  <c:v>460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274.64099999999996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200</c:v>
                </c:pt>
                <c:pt idx="101">
                  <c:v>200</c:v>
                </c:pt>
                <c:pt idx="102">
                  <c:v>200</c:v>
                </c:pt>
                <c:pt idx="103">
                  <c:v>200</c:v>
                </c:pt>
                <c:pt idx="104">
                  <c:v>200</c:v>
                </c:pt>
                <c:pt idx="105">
                  <c:v>200</c:v>
                </c:pt>
                <c:pt idx="106">
                  <c:v>200</c:v>
                </c:pt>
                <c:pt idx="107">
                  <c:v>200</c:v>
                </c:pt>
                <c:pt idx="108">
                  <c:v>200</c:v>
                </c:pt>
                <c:pt idx="109">
                  <c:v>200</c:v>
                </c:pt>
                <c:pt idx="110">
                  <c:v>200</c:v>
                </c:pt>
                <c:pt idx="111">
                  <c:v>200</c:v>
                </c:pt>
                <c:pt idx="112">
                  <c:v>200</c:v>
                </c:pt>
                <c:pt idx="113">
                  <c:v>200</c:v>
                </c:pt>
                <c:pt idx="114">
                  <c:v>200</c:v>
                </c:pt>
                <c:pt idx="115">
                  <c:v>200</c:v>
                </c:pt>
                <c:pt idx="116">
                  <c:v>200</c:v>
                </c:pt>
                <c:pt idx="117">
                  <c:v>200</c:v>
                </c:pt>
                <c:pt idx="118">
                  <c:v>200</c:v>
                </c:pt>
                <c:pt idx="119">
                  <c:v>200</c:v>
                </c:pt>
                <c:pt idx="120">
                  <c:v>200</c:v>
                </c:pt>
                <c:pt idx="121">
                  <c:v>200</c:v>
                </c:pt>
                <c:pt idx="122">
                  <c:v>200</c:v>
                </c:pt>
                <c:pt idx="123">
                  <c:v>200</c:v>
                </c:pt>
                <c:pt idx="124">
                  <c:v>200</c:v>
                </c:pt>
                <c:pt idx="125">
                  <c:v>200</c:v>
                </c:pt>
                <c:pt idx="126">
                  <c:v>200</c:v>
                </c:pt>
                <c:pt idx="127">
                  <c:v>200</c:v>
                </c:pt>
                <c:pt idx="128">
                  <c:v>200</c:v>
                </c:pt>
                <c:pt idx="129">
                  <c:v>200</c:v>
                </c:pt>
                <c:pt idx="130">
                  <c:v>200</c:v>
                </c:pt>
                <c:pt idx="131">
                  <c:v>200</c:v>
                </c:pt>
                <c:pt idx="132">
                  <c:v>200</c:v>
                </c:pt>
                <c:pt idx="133">
                  <c:v>200</c:v>
                </c:pt>
                <c:pt idx="134">
                  <c:v>200</c:v>
                </c:pt>
                <c:pt idx="135">
                  <c:v>200</c:v>
                </c:pt>
                <c:pt idx="136">
                  <c:v>200</c:v>
                </c:pt>
                <c:pt idx="137">
                  <c:v>200</c:v>
                </c:pt>
                <c:pt idx="138">
                  <c:v>200</c:v>
                </c:pt>
                <c:pt idx="139">
                  <c:v>200</c:v>
                </c:pt>
                <c:pt idx="140">
                  <c:v>200</c:v>
                </c:pt>
                <c:pt idx="141">
                  <c:v>200</c:v>
                </c:pt>
                <c:pt idx="142">
                  <c:v>200</c:v>
                </c:pt>
                <c:pt idx="143">
                  <c:v>200</c:v>
                </c:pt>
                <c:pt idx="144">
                  <c:v>200</c:v>
                </c:pt>
                <c:pt idx="145">
                  <c:v>200</c:v>
                </c:pt>
                <c:pt idx="146">
                  <c:v>200</c:v>
                </c:pt>
                <c:pt idx="147">
                  <c:v>200</c:v>
                </c:pt>
                <c:pt idx="148">
                  <c:v>200</c:v>
                </c:pt>
                <c:pt idx="149">
                  <c:v>200</c:v>
                </c:pt>
                <c:pt idx="150">
                  <c:v>200</c:v>
                </c:pt>
                <c:pt idx="151">
                  <c:v>200</c:v>
                </c:pt>
                <c:pt idx="152">
                  <c:v>200</c:v>
                </c:pt>
                <c:pt idx="153">
                  <c:v>200</c:v>
                </c:pt>
                <c:pt idx="154">
                  <c:v>200</c:v>
                </c:pt>
                <c:pt idx="155">
                  <c:v>200</c:v>
                </c:pt>
                <c:pt idx="156">
                  <c:v>200</c:v>
                </c:pt>
                <c:pt idx="157">
                  <c:v>200</c:v>
                </c:pt>
                <c:pt idx="158">
                  <c:v>200</c:v>
                </c:pt>
                <c:pt idx="159">
                  <c:v>200</c:v>
                </c:pt>
                <c:pt idx="160">
                  <c:v>200</c:v>
                </c:pt>
                <c:pt idx="161">
                  <c:v>200</c:v>
                </c:pt>
                <c:pt idx="162">
                  <c:v>200</c:v>
                </c:pt>
                <c:pt idx="163">
                  <c:v>200</c:v>
                </c:pt>
                <c:pt idx="164">
                  <c:v>200</c:v>
                </c:pt>
                <c:pt idx="165">
                  <c:v>200</c:v>
                </c:pt>
                <c:pt idx="166">
                  <c:v>200</c:v>
                </c:pt>
                <c:pt idx="167">
                  <c:v>200</c:v>
                </c:pt>
                <c:pt idx="168">
                  <c:v>200</c:v>
                </c:pt>
                <c:pt idx="169">
                  <c:v>200</c:v>
                </c:pt>
                <c:pt idx="170">
                  <c:v>200</c:v>
                </c:pt>
                <c:pt idx="171">
                  <c:v>200</c:v>
                </c:pt>
                <c:pt idx="172">
                  <c:v>200</c:v>
                </c:pt>
                <c:pt idx="173">
                  <c:v>200</c:v>
                </c:pt>
                <c:pt idx="174">
                  <c:v>200</c:v>
                </c:pt>
                <c:pt idx="175">
                  <c:v>200</c:v>
                </c:pt>
                <c:pt idx="176">
                  <c:v>200</c:v>
                </c:pt>
                <c:pt idx="177">
                  <c:v>200</c:v>
                </c:pt>
                <c:pt idx="178">
                  <c:v>200</c:v>
                </c:pt>
                <c:pt idx="179">
                  <c:v>200</c:v>
                </c:pt>
                <c:pt idx="180">
                  <c:v>200</c:v>
                </c:pt>
                <c:pt idx="181">
                  <c:v>200</c:v>
                </c:pt>
                <c:pt idx="182">
                  <c:v>200</c:v>
                </c:pt>
                <c:pt idx="183">
                  <c:v>200</c:v>
                </c:pt>
                <c:pt idx="184">
                  <c:v>1624.4849166666665</c:v>
                </c:pt>
                <c:pt idx="185">
                  <c:v>1354.4849166666665</c:v>
                </c:pt>
                <c:pt idx="186">
                  <c:v>1084.4849166666665</c:v>
                </c:pt>
                <c:pt idx="187">
                  <c:v>814.48491666666655</c:v>
                </c:pt>
                <c:pt idx="188">
                  <c:v>544.48491666666655</c:v>
                </c:pt>
                <c:pt idx="189">
                  <c:v>1968.9698333333331</c:v>
                </c:pt>
                <c:pt idx="190">
                  <c:v>1698.9698333333331</c:v>
                </c:pt>
                <c:pt idx="191">
                  <c:v>1428.9698333333331</c:v>
                </c:pt>
                <c:pt idx="192">
                  <c:v>1158.9698333333331</c:v>
                </c:pt>
                <c:pt idx="193">
                  <c:v>2583.4547499999999</c:v>
                </c:pt>
                <c:pt idx="194">
                  <c:v>2313.4547499999999</c:v>
                </c:pt>
                <c:pt idx="195">
                  <c:v>2043.4547499999999</c:v>
                </c:pt>
                <c:pt idx="196">
                  <c:v>1773.4547499999999</c:v>
                </c:pt>
                <c:pt idx="197">
                  <c:v>1503.4547499999999</c:v>
                </c:pt>
                <c:pt idx="198">
                  <c:v>2927.9396666666662</c:v>
                </c:pt>
                <c:pt idx="199">
                  <c:v>2657.9396666666662</c:v>
                </c:pt>
                <c:pt idx="200">
                  <c:v>2387.9396666666662</c:v>
                </c:pt>
                <c:pt idx="201">
                  <c:v>2117.9396666666662</c:v>
                </c:pt>
                <c:pt idx="202">
                  <c:v>3542.4245833333325</c:v>
                </c:pt>
                <c:pt idx="203">
                  <c:v>3272.4245833333325</c:v>
                </c:pt>
                <c:pt idx="204">
                  <c:v>3002.4245833333325</c:v>
                </c:pt>
                <c:pt idx="205">
                  <c:v>2732.4245833333325</c:v>
                </c:pt>
                <c:pt idx="206">
                  <c:v>2462.4245833333325</c:v>
                </c:pt>
                <c:pt idx="207">
                  <c:v>3886.9094999999988</c:v>
                </c:pt>
                <c:pt idx="208">
                  <c:v>3616.9094999999988</c:v>
                </c:pt>
                <c:pt idx="209">
                  <c:v>3346.9094999999988</c:v>
                </c:pt>
                <c:pt idx="210">
                  <c:v>3076.9094999999988</c:v>
                </c:pt>
                <c:pt idx="211">
                  <c:v>2806.9094999999988</c:v>
                </c:pt>
                <c:pt idx="212">
                  <c:v>2536.9094999999988</c:v>
                </c:pt>
                <c:pt idx="213">
                  <c:v>2266.9094999999988</c:v>
                </c:pt>
                <c:pt idx="214">
                  <c:v>1996.9094999999988</c:v>
                </c:pt>
                <c:pt idx="215">
                  <c:v>1726.9094999999988</c:v>
                </c:pt>
                <c:pt idx="216">
                  <c:v>3249.0426999999986</c:v>
                </c:pt>
                <c:pt idx="217">
                  <c:v>2979.0426999999986</c:v>
                </c:pt>
                <c:pt idx="218">
                  <c:v>2709.0426999999986</c:v>
                </c:pt>
                <c:pt idx="219">
                  <c:v>2439.0426999999986</c:v>
                </c:pt>
                <c:pt idx="220">
                  <c:v>2169.0426999999986</c:v>
                </c:pt>
                <c:pt idx="221">
                  <c:v>3691.1758999999984</c:v>
                </c:pt>
                <c:pt idx="222">
                  <c:v>3421.1758999999984</c:v>
                </c:pt>
                <c:pt idx="223">
                  <c:v>3151.1758999999984</c:v>
                </c:pt>
                <c:pt idx="224">
                  <c:v>2881.1758999999984</c:v>
                </c:pt>
                <c:pt idx="225">
                  <c:v>2611.1758999999984</c:v>
                </c:pt>
                <c:pt idx="226">
                  <c:v>2341.1758999999984</c:v>
                </c:pt>
                <c:pt idx="227">
                  <c:v>3863.3090999999986</c:v>
                </c:pt>
                <c:pt idx="228">
                  <c:v>3593.3090999999986</c:v>
                </c:pt>
                <c:pt idx="229">
                  <c:v>3323.3090999999986</c:v>
                </c:pt>
                <c:pt idx="230">
                  <c:v>3053.3090999999986</c:v>
                </c:pt>
                <c:pt idx="231">
                  <c:v>2783.3090999999986</c:v>
                </c:pt>
                <c:pt idx="232">
                  <c:v>4305.4422999999988</c:v>
                </c:pt>
                <c:pt idx="233">
                  <c:v>4035.4422999999988</c:v>
                </c:pt>
                <c:pt idx="234">
                  <c:v>3765.4422999999988</c:v>
                </c:pt>
                <c:pt idx="235">
                  <c:v>3495.4422999999988</c:v>
                </c:pt>
                <c:pt idx="236">
                  <c:v>3225.4422999999988</c:v>
                </c:pt>
                <c:pt idx="237">
                  <c:v>4747.575499999999</c:v>
                </c:pt>
                <c:pt idx="238">
                  <c:v>4477.575499999999</c:v>
                </c:pt>
                <c:pt idx="239">
                  <c:v>4207.575499999999</c:v>
                </c:pt>
                <c:pt idx="240">
                  <c:v>3937.575499999999</c:v>
                </c:pt>
                <c:pt idx="241">
                  <c:v>3667.575499999999</c:v>
                </c:pt>
                <c:pt idx="242">
                  <c:v>3397.575499999999</c:v>
                </c:pt>
                <c:pt idx="243">
                  <c:v>3127.575499999999</c:v>
                </c:pt>
                <c:pt idx="244">
                  <c:v>2857.575499999999</c:v>
                </c:pt>
                <c:pt idx="245">
                  <c:v>2587.575499999999</c:v>
                </c:pt>
                <c:pt idx="246">
                  <c:v>2317.575499999999</c:v>
                </c:pt>
                <c:pt idx="247">
                  <c:v>2047.575499999999</c:v>
                </c:pt>
                <c:pt idx="248">
                  <c:v>1777.575499999999</c:v>
                </c:pt>
                <c:pt idx="249">
                  <c:v>1507.575499999999</c:v>
                </c:pt>
                <c:pt idx="250">
                  <c:v>1926.8574999999992</c:v>
                </c:pt>
                <c:pt idx="251">
                  <c:v>1656.8574999999992</c:v>
                </c:pt>
                <c:pt idx="252">
                  <c:v>1386.8574999999992</c:v>
                </c:pt>
                <c:pt idx="253">
                  <c:v>1116.8574999999992</c:v>
                </c:pt>
                <c:pt idx="254">
                  <c:v>846.85749999999916</c:v>
                </c:pt>
                <c:pt idx="255">
                  <c:v>576.85749999999916</c:v>
                </c:pt>
                <c:pt idx="256">
                  <c:v>306.85749999999916</c:v>
                </c:pt>
                <c:pt idx="257">
                  <c:v>726.13949999999909</c:v>
                </c:pt>
                <c:pt idx="258">
                  <c:v>456.13949999999909</c:v>
                </c:pt>
                <c:pt idx="259">
                  <c:v>200</c:v>
                </c:pt>
                <c:pt idx="260">
                  <c:v>200</c:v>
                </c:pt>
                <c:pt idx="261">
                  <c:v>200</c:v>
                </c:pt>
                <c:pt idx="262">
                  <c:v>200</c:v>
                </c:pt>
                <c:pt idx="263">
                  <c:v>200</c:v>
                </c:pt>
                <c:pt idx="264">
                  <c:v>619.28199999999993</c:v>
                </c:pt>
                <c:pt idx="265">
                  <c:v>349.28199999999993</c:v>
                </c:pt>
                <c:pt idx="266">
                  <c:v>200</c:v>
                </c:pt>
                <c:pt idx="267">
                  <c:v>200</c:v>
                </c:pt>
                <c:pt idx="268">
                  <c:v>200</c:v>
                </c:pt>
                <c:pt idx="269">
                  <c:v>200</c:v>
                </c:pt>
                <c:pt idx="270">
                  <c:v>200</c:v>
                </c:pt>
                <c:pt idx="271">
                  <c:v>200</c:v>
                </c:pt>
                <c:pt idx="272">
                  <c:v>200</c:v>
                </c:pt>
                <c:pt idx="273">
                  <c:v>200</c:v>
                </c:pt>
                <c:pt idx="274">
                  <c:v>200</c:v>
                </c:pt>
                <c:pt idx="275">
                  <c:v>200</c:v>
                </c:pt>
                <c:pt idx="276">
                  <c:v>200</c:v>
                </c:pt>
                <c:pt idx="277">
                  <c:v>200</c:v>
                </c:pt>
                <c:pt idx="278">
                  <c:v>200</c:v>
                </c:pt>
                <c:pt idx="279">
                  <c:v>200</c:v>
                </c:pt>
                <c:pt idx="280">
                  <c:v>200</c:v>
                </c:pt>
                <c:pt idx="281">
                  <c:v>200</c:v>
                </c:pt>
                <c:pt idx="282">
                  <c:v>200</c:v>
                </c:pt>
                <c:pt idx="283">
                  <c:v>200</c:v>
                </c:pt>
                <c:pt idx="284">
                  <c:v>200</c:v>
                </c:pt>
                <c:pt idx="285">
                  <c:v>200</c:v>
                </c:pt>
                <c:pt idx="286">
                  <c:v>200</c:v>
                </c:pt>
                <c:pt idx="287">
                  <c:v>200</c:v>
                </c:pt>
                <c:pt idx="288">
                  <c:v>200</c:v>
                </c:pt>
                <c:pt idx="289">
                  <c:v>200</c:v>
                </c:pt>
                <c:pt idx="290">
                  <c:v>200</c:v>
                </c:pt>
                <c:pt idx="291">
                  <c:v>200</c:v>
                </c:pt>
                <c:pt idx="292">
                  <c:v>200</c:v>
                </c:pt>
                <c:pt idx="293">
                  <c:v>200</c:v>
                </c:pt>
                <c:pt idx="294">
                  <c:v>200</c:v>
                </c:pt>
                <c:pt idx="295">
                  <c:v>200</c:v>
                </c:pt>
                <c:pt idx="296">
                  <c:v>200</c:v>
                </c:pt>
                <c:pt idx="297">
                  <c:v>200</c:v>
                </c:pt>
                <c:pt idx="298">
                  <c:v>200</c:v>
                </c:pt>
                <c:pt idx="299">
                  <c:v>200</c:v>
                </c:pt>
                <c:pt idx="300">
                  <c:v>200</c:v>
                </c:pt>
                <c:pt idx="301">
                  <c:v>200</c:v>
                </c:pt>
                <c:pt idx="302">
                  <c:v>200</c:v>
                </c:pt>
                <c:pt idx="303">
                  <c:v>200</c:v>
                </c:pt>
                <c:pt idx="304">
                  <c:v>200</c:v>
                </c:pt>
                <c:pt idx="305">
                  <c:v>200</c:v>
                </c:pt>
                <c:pt idx="306">
                  <c:v>200</c:v>
                </c:pt>
                <c:pt idx="307">
                  <c:v>200</c:v>
                </c:pt>
                <c:pt idx="308">
                  <c:v>200</c:v>
                </c:pt>
                <c:pt idx="309">
                  <c:v>200</c:v>
                </c:pt>
                <c:pt idx="310">
                  <c:v>200</c:v>
                </c:pt>
                <c:pt idx="311">
                  <c:v>200</c:v>
                </c:pt>
                <c:pt idx="312">
                  <c:v>200</c:v>
                </c:pt>
                <c:pt idx="313">
                  <c:v>200</c:v>
                </c:pt>
                <c:pt idx="314">
                  <c:v>200</c:v>
                </c:pt>
                <c:pt idx="315">
                  <c:v>200</c:v>
                </c:pt>
                <c:pt idx="316">
                  <c:v>200</c:v>
                </c:pt>
                <c:pt idx="317">
                  <c:v>200</c:v>
                </c:pt>
                <c:pt idx="318">
                  <c:v>200</c:v>
                </c:pt>
                <c:pt idx="319">
                  <c:v>200</c:v>
                </c:pt>
                <c:pt idx="320">
                  <c:v>200</c:v>
                </c:pt>
                <c:pt idx="321">
                  <c:v>200</c:v>
                </c:pt>
                <c:pt idx="322">
                  <c:v>200</c:v>
                </c:pt>
                <c:pt idx="323">
                  <c:v>200</c:v>
                </c:pt>
                <c:pt idx="324">
                  <c:v>200</c:v>
                </c:pt>
                <c:pt idx="325">
                  <c:v>200</c:v>
                </c:pt>
                <c:pt idx="326">
                  <c:v>200</c:v>
                </c:pt>
                <c:pt idx="327">
                  <c:v>200</c:v>
                </c:pt>
                <c:pt idx="328">
                  <c:v>200</c:v>
                </c:pt>
                <c:pt idx="329">
                  <c:v>200</c:v>
                </c:pt>
                <c:pt idx="330">
                  <c:v>200</c:v>
                </c:pt>
                <c:pt idx="331">
                  <c:v>200</c:v>
                </c:pt>
                <c:pt idx="332">
                  <c:v>200</c:v>
                </c:pt>
                <c:pt idx="333">
                  <c:v>200</c:v>
                </c:pt>
                <c:pt idx="334">
                  <c:v>200</c:v>
                </c:pt>
                <c:pt idx="335">
                  <c:v>200</c:v>
                </c:pt>
                <c:pt idx="336">
                  <c:v>200</c:v>
                </c:pt>
                <c:pt idx="337">
                  <c:v>200</c:v>
                </c:pt>
                <c:pt idx="338">
                  <c:v>200</c:v>
                </c:pt>
                <c:pt idx="339">
                  <c:v>200</c:v>
                </c:pt>
                <c:pt idx="340">
                  <c:v>200</c:v>
                </c:pt>
                <c:pt idx="341">
                  <c:v>200</c:v>
                </c:pt>
                <c:pt idx="342">
                  <c:v>200</c:v>
                </c:pt>
                <c:pt idx="343">
                  <c:v>200</c:v>
                </c:pt>
                <c:pt idx="344">
                  <c:v>200</c:v>
                </c:pt>
                <c:pt idx="345">
                  <c:v>200</c:v>
                </c:pt>
                <c:pt idx="346">
                  <c:v>200</c:v>
                </c:pt>
                <c:pt idx="347">
                  <c:v>200</c:v>
                </c:pt>
                <c:pt idx="348">
                  <c:v>200</c:v>
                </c:pt>
                <c:pt idx="349">
                  <c:v>446.9615</c:v>
                </c:pt>
                <c:pt idx="350">
                  <c:v>200</c:v>
                </c:pt>
                <c:pt idx="351">
                  <c:v>200</c:v>
                </c:pt>
                <c:pt idx="352">
                  <c:v>200</c:v>
                </c:pt>
                <c:pt idx="353">
                  <c:v>200</c:v>
                </c:pt>
                <c:pt idx="354">
                  <c:v>200</c:v>
                </c:pt>
                <c:pt idx="355">
                  <c:v>200</c:v>
                </c:pt>
                <c:pt idx="356">
                  <c:v>200</c:v>
                </c:pt>
                <c:pt idx="357">
                  <c:v>200</c:v>
                </c:pt>
                <c:pt idx="358">
                  <c:v>200</c:v>
                </c:pt>
                <c:pt idx="359">
                  <c:v>200</c:v>
                </c:pt>
                <c:pt idx="360">
                  <c:v>200</c:v>
                </c:pt>
                <c:pt idx="361">
                  <c:v>200</c:v>
                </c:pt>
                <c:pt idx="362">
                  <c:v>200</c:v>
                </c:pt>
                <c:pt idx="363">
                  <c:v>200</c:v>
                </c:pt>
                <c:pt idx="364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28-45DD-A67D-873096133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5323186"/>
        <c:axId val="60805034"/>
      </c:lineChart>
      <c:catAx>
        <c:axId val="753231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Day of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805034"/>
        <c:crosses val="autoZero"/>
        <c:auto val="1"/>
        <c:lblAlgn val="ctr"/>
        <c:lblOffset val="100"/>
        <c:noMultiLvlLbl val="0"/>
      </c:catAx>
      <c:valAx>
        <c:axId val="608050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Litres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L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3231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Daily Rainfall (365 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Simulation'!$D$5</c:f>
              <c:strCache>
                <c:ptCount val="1"/>
                <c:pt idx="0">
                  <c:v>Rainfall
(mm)</c:v>
                </c:pt>
              </c:strCache>
            </c:strRef>
          </c:tx>
          <c:spPr>
            <a:solidFill>
              <a:srgbClr val="2E5EA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'Daily Simulation'!$B$6:$B$370</c:f>
              <c:numCache>
                <c:formatCode>#,##0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'Daily Simulation'!$D$6:$D$370</c:f>
              <c:numCache>
                <c:formatCode>#,##0.0" mm"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1.5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1.5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10.833333333333334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10.833333333333334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10.833333333333334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10.833333333333334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10.833333333333334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10.833333333333334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11.4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11.4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11.4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11.4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11.4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5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5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5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2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2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4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6-4243-A01B-24A9AD432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85830"/>
        <c:axId val="59137581"/>
      </c:barChart>
      <c:catAx>
        <c:axId val="7685830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137581"/>
        <c:crosses val="autoZero"/>
        <c:auto val="1"/>
        <c:lblAlgn val="ctr"/>
        <c:lblOffset val="100"/>
        <c:noMultiLvlLbl val="0"/>
      </c:catAx>
      <c:valAx>
        <c:axId val="591375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&quot; mm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858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Cumulative Water Collected vs Used vs Overflow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Simulation'!$M$5</c:f>
              <c:strCache>
                <c:ptCount val="1"/>
                <c:pt idx="0">
                  <c:v>Cum. Water
Collected (L)</c:v>
                </c:pt>
              </c:strCache>
            </c:strRef>
          </c:tx>
          <c:spPr>
            <a:ln w="14040">
              <a:solidFill>
                <a:srgbClr val="2E5EA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'Daily Simulation'!$B$6:$B$370</c:f>
              <c:numCache>
                <c:formatCode>#,##0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'Daily Simulation'!$M$6:$M$370</c:f>
              <c:numCache>
                <c:formatCode>#,##0" L"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344.64099999999996</c:v>
                </c:pt>
                <c:pt idx="16">
                  <c:v>344.64099999999996</c:v>
                </c:pt>
                <c:pt idx="17">
                  <c:v>344.64099999999996</c:v>
                </c:pt>
                <c:pt idx="18">
                  <c:v>344.64099999999996</c:v>
                </c:pt>
                <c:pt idx="19">
                  <c:v>344.64099999999996</c:v>
                </c:pt>
                <c:pt idx="20">
                  <c:v>344.64099999999996</c:v>
                </c:pt>
                <c:pt idx="21">
                  <c:v>344.64099999999996</c:v>
                </c:pt>
                <c:pt idx="22">
                  <c:v>344.64099999999996</c:v>
                </c:pt>
                <c:pt idx="23">
                  <c:v>344.64099999999996</c:v>
                </c:pt>
                <c:pt idx="24">
                  <c:v>344.64099999999996</c:v>
                </c:pt>
                <c:pt idx="25">
                  <c:v>344.64099999999996</c:v>
                </c:pt>
                <c:pt idx="26">
                  <c:v>344.64099999999996</c:v>
                </c:pt>
                <c:pt idx="27">
                  <c:v>344.64099999999996</c:v>
                </c:pt>
                <c:pt idx="28">
                  <c:v>344.64099999999996</c:v>
                </c:pt>
                <c:pt idx="29">
                  <c:v>344.64099999999996</c:v>
                </c:pt>
                <c:pt idx="30">
                  <c:v>344.64099999999996</c:v>
                </c:pt>
                <c:pt idx="31">
                  <c:v>344.64099999999996</c:v>
                </c:pt>
                <c:pt idx="32">
                  <c:v>344.64099999999996</c:v>
                </c:pt>
                <c:pt idx="33">
                  <c:v>344.64099999999996</c:v>
                </c:pt>
                <c:pt idx="34">
                  <c:v>344.64099999999996</c:v>
                </c:pt>
                <c:pt idx="35">
                  <c:v>344.64099999999996</c:v>
                </c:pt>
                <c:pt idx="36">
                  <c:v>344.64099999999996</c:v>
                </c:pt>
                <c:pt idx="37">
                  <c:v>344.64099999999996</c:v>
                </c:pt>
                <c:pt idx="38">
                  <c:v>344.64099999999996</c:v>
                </c:pt>
                <c:pt idx="39">
                  <c:v>344.64099999999996</c:v>
                </c:pt>
                <c:pt idx="40">
                  <c:v>344.64099999999996</c:v>
                </c:pt>
                <c:pt idx="41">
                  <c:v>344.64099999999996</c:v>
                </c:pt>
                <c:pt idx="42">
                  <c:v>344.64099999999996</c:v>
                </c:pt>
                <c:pt idx="43">
                  <c:v>344.64099999999996</c:v>
                </c:pt>
                <c:pt idx="44">
                  <c:v>516.96149999999989</c:v>
                </c:pt>
                <c:pt idx="45">
                  <c:v>516.96149999999989</c:v>
                </c:pt>
                <c:pt idx="46">
                  <c:v>516.96149999999989</c:v>
                </c:pt>
                <c:pt idx="47">
                  <c:v>516.96149999999989</c:v>
                </c:pt>
                <c:pt idx="48">
                  <c:v>516.96149999999989</c:v>
                </c:pt>
                <c:pt idx="49">
                  <c:v>516.96149999999989</c:v>
                </c:pt>
                <c:pt idx="50">
                  <c:v>516.96149999999989</c:v>
                </c:pt>
                <c:pt idx="51">
                  <c:v>516.96149999999989</c:v>
                </c:pt>
                <c:pt idx="52">
                  <c:v>516.96149999999989</c:v>
                </c:pt>
                <c:pt idx="53">
                  <c:v>516.96149999999989</c:v>
                </c:pt>
                <c:pt idx="54">
                  <c:v>516.96149999999989</c:v>
                </c:pt>
                <c:pt idx="55">
                  <c:v>516.96149999999989</c:v>
                </c:pt>
                <c:pt idx="56">
                  <c:v>516.96149999999989</c:v>
                </c:pt>
                <c:pt idx="57">
                  <c:v>516.96149999999989</c:v>
                </c:pt>
                <c:pt idx="58">
                  <c:v>516.96149999999989</c:v>
                </c:pt>
                <c:pt idx="59">
                  <c:v>516.96149999999989</c:v>
                </c:pt>
                <c:pt idx="60">
                  <c:v>516.96149999999989</c:v>
                </c:pt>
                <c:pt idx="61">
                  <c:v>516.96149999999989</c:v>
                </c:pt>
                <c:pt idx="62">
                  <c:v>516.96149999999989</c:v>
                </c:pt>
                <c:pt idx="63">
                  <c:v>516.96149999999989</c:v>
                </c:pt>
                <c:pt idx="64">
                  <c:v>516.96149999999989</c:v>
                </c:pt>
                <c:pt idx="65">
                  <c:v>516.96149999999989</c:v>
                </c:pt>
                <c:pt idx="66">
                  <c:v>516.96149999999989</c:v>
                </c:pt>
                <c:pt idx="67">
                  <c:v>516.96149999999989</c:v>
                </c:pt>
                <c:pt idx="68">
                  <c:v>516.96149999999989</c:v>
                </c:pt>
                <c:pt idx="69">
                  <c:v>516.96149999999989</c:v>
                </c:pt>
                <c:pt idx="70">
                  <c:v>516.96149999999989</c:v>
                </c:pt>
                <c:pt idx="71">
                  <c:v>516.96149999999989</c:v>
                </c:pt>
                <c:pt idx="72">
                  <c:v>516.96149999999989</c:v>
                </c:pt>
                <c:pt idx="73">
                  <c:v>516.96149999999989</c:v>
                </c:pt>
                <c:pt idx="74">
                  <c:v>516.96149999999989</c:v>
                </c:pt>
                <c:pt idx="75">
                  <c:v>516.96149999999989</c:v>
                </c:pt>
                <c:pt idx="76">
                  <c:v>516.96149999999989</c:v>
                </c:pt>
                <c:pt idx="77">
                  <c:v>516.96149999999989</c:v>
                </c:pt>
                <c:pt idx="78">
                  <c:v>516.96149999999989</c:v>
                </c:pt>
                <c:pt idx="79">
                  <c:v>516.96149999999989</c:v>
                </c:pt>
                <c:pt idx="80">
                  <c:v>516.96149999999989</c:v>
                </c:pt>
                <c:pt idx="81">
                  <c:v>516.96149999999989</c:v>
                </c:pt>
                <c:pt idx="82">
                  <c:v>516.96149999999989</c:v>
                </c:pt>
                <c:pt idx="83">
                  <c:v>516.96149999999989</c:v>
                </c:pt>
                <c:pt idx="84">
                  <c:v>516.96149999999989</c:v>
                </c:pt>
                <c:pt idx="85">
                  <c:v>516.96149999999989</c:v>
                </c:pt>
                <c:pt idx="86">
                  <c:v>516.96149999999989</c:v>
                </c:pt>
                <c:pt idx="87">
                  <c:v>516.96149999999989</c:v>
                </c:pt>
                <c:pt idx="88">
                  <c:v>516.96149999999989</c:v>
                </c:pt>
                <c:pt idx="89">
                  <c:v>516.96149999999989</c:v>
                </c:pt>
                <c:pt idx="90">
                  <c:v>516.96149999999989</c:v>
                </c:pt>
                <c:pt idx="91">
                  <c:v>516.96149999999989</c:v>
                </c:pt>
                <c:pt idx="92">
                  <c:v>516.96149999999989</c:v>
                </c:pt>
                <c:pt idx="93">
                  <c:v>516.96149999999989</c:v>
                </c:pt>
                <c:pt idx="94">
                  <c:v>516.96149999999989</c:v>
                </c:pt>
                <c:pt idx="95">
                  <c:v>516.96149999999989</c:v>
                </c:pt>
                <c:pt idx="96">
                  <c:v>516.96149999999989</c:v>
                </c:pt>
                <c:pt idx="97">
                  <c:v>516.96149999999989</c:v>
                </c:pt>
                <c:pt idx="98">
                  <c:v>516.96149999999989</c:v>
                </c:pt>
                <c:pt idx="99">
                  <c:v>516.96149999999989</c:v>
                </c:pt>
                <c:pt idx="100">
                  <c:v>516.96149999999989</c:v>
                </c:pt>
                <c:pt idx="101">
                  <c:v>516.96149999999989</c:v>
                </c:pt>
                <c:pt idx="102">
                  <c:v>516.96149999999989</c:v>
                </c:pt>
                <c:pt idx="103">
                  <c:v>516.96149999999989</c:v>
                </c:pt>
                <c:pt idx="104">
                  <c:v>516.96149999999989</c:v>
                </c:pt>
                <c:pt idx="105">
                  <c:v>516.96149999999989</c:v>
                </c:pt>
                <c:pt idx="106">
                  <c:v>516.96149999999989</c:v>
                </c:pt>
                <c:pt idx="107">
                  <c:v>516.96149999999989</c:v>
                </c:pt>
                <c:pt idx="108">
                  <c:v>516.96149999999989</c:v>
                </c:pt>
                <c:pt idx="109">
                  <c:v>516.96149999999989</c:v>
                </c:pt>
                <c:pt idx="110">
                  <c:v>516.96149999999989</c:v>
                </c:pt>
                <c:pt idx="111">
                  <c:v>516.96149999999989</c:v>
                </c:pt>
                <c:pt idx="112">
                  <c:v>516.96149999999989</c:v>
                </c:pt>
                <c:pt idx="113">
                  <c:v>516.96149999999989</c:v>
                </c:pt>
                <c:pt idx="114">
                  <c:v>516.96149999999989</c:v>
                </c:pt>
                <c:pt idx="115">
                  <c:v>516.96149999999989</c:v>
                </c:pt>
                <c:pt idx="116">
                  <c:v>516.96149999999989</c:v>
                </c:pt>
                <c:pt idx="117">
                  <c:v>516.96149999999989</c:v>
                </c:pt>
                <c:pt idx="118">
                  <c:v>516.96149999999989</c:v>
                </c:pt>
                <c:pt idx="119">
                  <c:v>516.96149999999989</c:v>
                </c:pt>
                <c:pt idx="120">
                  <c:v>516.96149999999989</c:v>
                </c:pt>
                <c:pt idx="121">
                  <c:v>516.96149999999989</c:v>
                </c:pt>
                <c:pt idx="122">
                  <c:v>516.96149999999989</c:v>
                </c:pt>
                <c:pt idx="123">
                  <c:v>516.96149999999989</c:v>
                </c:pt>
                <c:pt idx="124">
                  <c:v>516.96149999999989</c:v>
                </c:pt>
                <c:pt idx="125">
                  <c:v>516.96149999999989</c:v>
                </c:pt>
                <c:pt idx="126">
                  <c:v>516.96149999999989</c:v>
                </c:pt>
                <c:pt idx="127">
                  <c:v>516.96149999999989</c:v>
                </c:pt>
                <c:pt idx="128">
                  <c:v>516.96149999999989</c:v>
                </c:pt>
                <c:pt idx="129">
                  <c:v>516.96149999999989</c:v>
                </c:pt>
                <c:pt idx="130">
                  <c:v>516.96149999999989</c:v>
                </c:pt>
                <c:pt idx="131">
                  <c:v>516.96149999999989</c:v>
                </c:pt>
                <c:pt idx="132">
                  <c:v>516.96149999999989</c:v>
                </c:pt>
                <c:pt idx="133">
                  <c:v>516.96149999999989</c:v>
                </c:pt>
                <c:pt idx="134">
                  <c:v>516.96149999999989</c:v>
                </c:pt>
                <c:pt idx="135">
                  <c:v>516.96149999999989</c:v>
                </c:pt>
                <c:pt idx="136">
                  <c:v>516.96149999999989</c:v>
                </c:pt>
                <c:pt idx="137">
                  <c:v>516.96149999999989</c:v>
                </c:pt>
                <c:pt idx="138">
                  <c:v>516.96149999999989</c:v>
                </c:pt>
                <c:pt idx="139">
                  <c:v>516.96149999999989</c:v>
                </c:pt>
                <c:pt idx="140">
                  <c:v>516.96149999999989</c:v>
                </c:pt>
                <c:pt idx="141">
                  <c:v>516.96149999999989</c:v>
                </c:pt>
                <c:pt idx="142">
                  <c:v>516.96149999999989</c:v>
                </c:pt>
                <c:pt idx="143">
                  <c:v>516.96149999999989</c:v>
                </c:pt>
                <c:pt idx="144">
                  <c:v>516.96149999999989</c:v>
                </c:pt>
                <c:pt idx="145">
                  <c:v>516.96149999999989</c:v>
                </c:pt>
                <c:pt idx="146">
                  <c:v>516.96149999999989</c:v>
                </c:pt>
                <c:pt idx="147">
                  <c:v>516.96149999999989</c:v>
                </c:pt>
                <c:pt idx="148">
                  <c:v>516.96149999999989</c:v>
                </c:pt>
                <c:pt idx="149">
                  <c:v>516.96149999999989</c:v>
                </c:pt>
                <c:pt idx="150">
                  <c:v>516.96149999999989</c:v>
                </c:pt>
                <c:pt idx="151">
                  <c:v>516.96149999999989</c:v>
                </c:pt>
                <c:pt idx="152">
                  <c:v>516.96149999999989</c:v>
                </c:pt>
                <c:pt idx="153">
                  <c:v>516.96149999999989</c:v>
                </c:pt>
                <c:pt idx="154">
                  <c:v>516.96149999999989</c:v>
                </c:pt>
                <c:pt idx="155">
                  <c:v>516.96149999999989</c:v>
                </c:pt>
                <c:pt idx="156">
                  <c:v>516.96149999999989</c:v>
                </c:pt>
                <c:pt idx="157">
                  <c:v>516.96149999999989</c:v>
                </c:pt>
                <c:pt idx="158">
                  <c:v>516.96149999999989</c:v>
                </c:pt>
                <c:pt idx="159">
                  <c:v>516.96149999999989</c:v>
                </c:pt>
                <c:pt idx="160">
                  <c:v>603.12174999999991</c:v>
                </c:pt>
                <c:pt idx="161">
                  <c:v>603.12174999999991</c:v>
                </c:pt>
                <c:pt idx="162">
                  <c:v>603.12174999999991</c:v>
                </c:pt>
                <c:pt idx="163">
                  <c:v>603.12174999999991</c:v>
                </c:pt>
                <c:pt idx="164">
                  <c:v>603.12174999999991</c:v>
                </c:pt>
                <c:pt idx="165">
                  <c:v>603.12174999999991</c:v>
                </c:pt>
                <c:pt idx="166">
                  <c:v>603.12174999999991</c:v>
                </c:pt>
                <c:pt idx="167">
                  <c:v>603.12174999999991</c:v>
                </c:pt>
                <c:pt idx="168">
                  <c:v>603.12174999999991</c:v>
                </c:pt>
                <c:pt idx="169">
                  <c:v>603.12174999999991</c:v>
                </c:pt>
                <c:pt idx="170">
                  <c:v>689.28199999999993</c:v>
                </c:pt>
                <c:pt idx="171">
                  <c:v>689.28199999999993</c:v>
                </c:pt>
                <c:pt idx="172">
                  <c:v>689.28199999999993</c:v>
                </c:pt>
                <c:pt idx="173">
                  <c:v>689.28199999999993</c:v>
                </c:pt>
                <c:pt idx="174">
                  <c:v>689.28199999999993</c:v>
                </c:pt>
                <c:pt idx="175">
                  <c:v>689.28199999999993</c:v>
                </c:pt>
                <c:pt idx="176">
                  <c:v>689.28199999999993</c:v>
                </c:pt>
                <c:pt idx="177">
                  <c:v>689.28199999999993</c:v>
                </c:pt>
                <c:pt idx="178">
                  <c:v>689.28199999999993</c:v>
                </c:pt>
                <c:pt idx="179">
                  <c:v>689.28199999999993</c:v>
                </c:pt>
                <c:pt idx="180">
                  <c:v>689.28199999999993</c:v>
                </c:pt>
                <c:pt idx="181">
                  <c:v>689.28199999999993</c:v>
                </c:pt>
                <c:pt idx="182">
                  <c:v>689.28199999999993</c:v>
                </c:pt>
                <c:pt idx="183">
                  <c:v>689.28199999999993</c:v>
                </c:pt>
                <c:pt idx="184">
                  <c:v>2383.7669166666665</c:v>
                </c:pt>
                <c:pt idx="185">
                  <c:v>2383.7669166666665</c:v>
                </c:pt>
                <c:pt idx="186">
                  <c:v>2383.7669166666665</c:v>
                </c:pt>
                <c:pt idx="187">
                  <c:v>2383.7669166666665</c:v>
                </c:pt>
                <c:pt idx="188">
                  <c:v>2383.7669166666665</c:v>
                </c:pt>
                <c:pt idx="189">
                  <c:v>4078.2518333333328</c:v>
                </c:pt>
                <c:pt idx="190">
                  <c:v>4078.2518333333328</c:v>
                </c:pt>
                <c:pt idx="191">
                  <c:v>4078.2518333333328</c:v>
                </c:pt>
                <c:pt idx="192">
                  <c:v>4078.2518333333328</c:v>
                </c:pt>
                <c:pt idx="193">
                  <c:v>5772.7367499999991</c:v>
                </c:pt>
                <c:pt idx="194">
                  <c:v>5772.7367499999991</c:v>
                </c:pt>
                <c:pt idx="195">
                  <c:v>5772.7367499999991</c:v>
                </c:pt>
                <c:pt idx="196">
                  <c:v>5772.7367499999991</c:v>
                </c:pt>
                <c:pt idx="197">
                  <c:v>5772.7367499999991</c:v>
                </c:pt>
                <c:pt idx="198">
                  <c:v>7467.2216666666654</c:v>
                </c:pt>
                <c:pt idx="199">
                  <c:v>7467.2216666666654</c:v>
                </c:pt>
                <c:pt idx="200">
                  <c:v>7467.2216666666654</c:v>
                </c:pt>
                <c:pt idx="201">
                  <c:v>7467.2216666666654</c:v>
                </c:pt>
                <c:pt idx="202">
                  <c:v>9161.7065833333327</c:v>
                </c:pt>
                <c:pt idx="203">
                  <c:v>9161.7065833333327</c:v>
                </c:pt>
                <c:pt idx="204">
                  <c:v>9161.7065833333327</c:v>
                </c:pt>
                <c:pt idx="205">
                  <c:v>9161.7065833333327</c:v>
                </c:pt>
                <c:pt idx="206">
                  <c:v>9161.7065833333327</c:v>
                </c:pt>
                <c:pt idx="207">
                  <c:v>10856.191499999999</c:v>
                </c:pt>
                <c:pt idx="208">
                  <c:v>10856.191499999999</c:v>
                </c:pt>
                <c:pt idx="209">
                  <c:v>10856.191499999999</c:v>
                </c:pt>
                <c:pt idx="210">
                  <c:v>10856.191499999999</c:v>
                </c:pt>
                <c:pt idx="211">
                  <c:v>10856.191499999999</c:v>
                </c:pt>
                <c:pt idx="212">
                  <c:v>10856.191499999999</c:v>
                </c:pt>
                <c:pt idx="213">
                  <c:v>10856.191499999999</c:v>
                </c:pt>
                <c:pt idx="214">
                  <c:v>10856.191499999999</c:v>
                </c:pt>
                <c:pt idx="215">
                  <c:v>10856.191499999999</c:v>
                </c:pt>
                <c:pt idx="216">
                  <c:v>12648.324699999999</c:v>
                </c:pt>
                <c:pt idx="217">
                  <c:v>12648.324699999999</c:v>
                </c:pt>
                <c:pt idx="218">
                  <c:v>12648.324699999999</c:v>
                </c:pt>
                <c:pt idx="219">
                  <c:v>12648.324699999999</c:v>
                </c:pt>
                <c:pt idx="220">
                  <c:v>12648.324699999999</c:v>
                </c:pt>
                <c:pt idx="221">
                  <c:v>14440.457899999999</c:v>
                </c:pt>
                <c:pt idx="222">
                  <c:v>14440.457899999999</c:v>
                </c:pt>
                <c:pt idx="223">
                  <c:v>14440.457899999999</c:v>
                </c:pt>
                <c:pt idx="224">
                  <c:v>14440.457899999999</c:v>
                </c:pt>
                <c:pt idx="225">
                  <c:v>14440.457899999999</c:v>
                </c:pt>
                <c:pt idx="226">
                  <c:v>14440.457899999999</c:v>
                </c:pt>
                <c:pt idx="227">
                  <c:v>16232.5911</c:v>
                </c:pt>
                <c:pt idx="228">
                  <c:v>16232.5911</c:v>
                </c:pt>
                <c:pt idx="229">
                  <c:v>16232.5911</c:v>
                </c:pt>
                <c:pt idx="230">
                  <c:v>16232.5911</c:v>
                </c:pt>
                <c:pt idx="231">
                  <c:v>16232.5911</c:v>
                </c:pt>
                <c:pt idx="232">
                  <c:v>18024.724299999998</c:v>
                </c:pt>
                <c:pt idx="233">
                  <c:v>18024.724299999998</c:v>
                </c:pt>
                <c:pt idx="234">
                  <c:v>18024.724299999998</c:v>
                </c:pt>
                <c:pt idx="235">
                  <c:v>18024.724299999998</c:v>
                </c:pt>
                <c:pt idx="236">
                  <c:v>18024.724299999998</c:v>
                </c:pt>
                <c:pt idx="237">
                  <c:v>19816.857499999998</c:v>
                </c:pt>
                <c:pt idx="238">
                  <c:v>19816.857499999998</c:v>
                </c:pt>
                <c:pt idx="239">
                  <c:v>19816.857499999998</c:v>
                </c:pt>
                <c:pt idx="240">
                  <c:v>19816.857499999998</c:v>
                </c:pt>
                <c:pt idx="241">
                  <c:v>19816.857499999998</c:v>
                </c:pt>
                <c:pt idx="242">
                  <c:v>19816.857499999998</c:v>
                </c:pt>
                <c:pt idx="243">
                  <c:v>19816.857499999998</c:v>
                </c:pt>
                <c:pt idx="244">
                  <c:v>19816.857499999998</c:v>
                </c:pt>
                <c:pt idx="245">
                  <c:v>19816.857499999998</c:v>
                </c:pt>
                <c:pt idx="246">
                  <c:v>19816.857499999998</c:v>
                </c:pt>
                <c:pt idx="247">
                  <c:v>19816.857499999998</c:v>
                </c:pt>
                <c:pt idx="248">
                  <c:v>19816.857499999998</c:v>
                </c:pt>
                <c:pt idx="249">
                  <c:v>19816.857499999998</c:v>
                </c:pt>
                <c:pt idx="250">
                  <c:v>20506.139499999997</c:v>
                </c:pt>
                <c:pt idx="251">
                  <c:v>20506.139499999997</c:v>
                </c:pt>
                <c:pt idx="252">
                  <c:v>20506.139499999997</c:v>
                </c:pt>
                <c:pt idx="253">
                  <c:v>20506.139499999997</c:v>
                </c:pt>
                <c:pt idx="254">
                  <c:v>20506.139499999997</c:v>
                </c:pt>
                <c:pt idx="255">
                  <c:v>20506.139499999997</c:v>
                </c:pt>
                <c:pt idx="256">
                  <c:v>20506.139499999997</c:v>
                </c:pt>
                <c:pt idx="257">
                  <c:v>21195.421499999997</c:v>
                </c:pt>
                <c:pt idx="258">
                  <c:v>21195.421499999997</c:v>
                </c:pt>
                <c:pt idx="259">
                  <c:v>21195.421499999997</c:v>
                </c:pt>
                <c:pt idx="260">
                  <c:v>21195.421499999997</c:v>
                </c:pt>
                <c:pt idx="261">
                  <c:v>21195.421499999997</c:v>
                </c:pt>
                <c:pt idx="262">
                  <c:v>21195.421499999997</c:v>
                </c:pt>
                <c:pt idx="263">
                  <c:v>21195.421499999997</c:v>
                </c:pt>
                <c:pt idx="264">
                  <c:v>21884.703499999996</c:v>
                </c:pt>
                <c:pt idx="265">
                  <c:v>21884.703499999996</c:v>
                </c:pt>
                <c:pt idx="266">
                  <c:v>21884.703499999996</c:v>
                </c:pt>
                <c:pt idx="267">
                  <c:v>21884.703499999996</c:v>
                </c:pt>
                <c:pt idx="268">
                  <c:v>21884.703499999996</c:v>
                </c:pt>
                <c:pt idx="269">
                  <c:v>21884.703499999996</c:v>
                </c:pt>
                <c:pt idx="270">
                  <c:v>21884.703499999996</c:v>
                </c:pt>
                <c:pt idx="271">
                  <c:v>21884.703499999996</c:v>
                </c:pt>
                <c:pt idx="272">
                  <c:v>21884.703499999996</c:v>
                </c:pt>
                <c:pt idx="273">
                  <c:v>21884.703499999996</c:v>
                </c:pt>
                <c:pt idx="274">
                  <c:v>21884.703499999996</c:v>
                </c:pt>
                <c:pt idx="275">
                  <c:v>21884.703499999996</c:v>
                </c:pt>
                <c:pt idx="276">
                  <c:v>21884.703499999996</c:v>
                </c:pt>
                <c:pt idx="277">
                  <c:v>21884.703499999996</c:v>
                </c:pt>
                <c:pt idx="278">
                  <c:v>21884.703499999996</c:v>
                </c:pt>
                <c:pt idx="279">
                  <c:v>21884.703499999996</c:v>
                </c:pt>
                <c:pt idx="280">
                  <c:v>21884.703499999996</c:v>
                </c:pt>
                <c:pt idx="281">
                  <c:v>21884.703499999996</c:v>
                </c:pt>
                <c:pt idx="282">
                  <c:v>21884.703499999996</c:v>
                </c:pt>
                <c:pt idx="283">
                  <c:v>21884.703499999996</c:v>
                </c:pt>
                <c:pt idx="284">
                  <c:v>21884.703499999996</c:v>
                </c:pt>
                <c:pt idx="285">
                  <c:v>21884.703499999996</c:v>
                </c:pt>
                <c:pt idx="286">
                  <c:v>21884.703499999996</c:v>
                </c:pt>
                <c:pt idx="287">
                  <c:v>21884.703499999996</c:v>
                </c:pt>
                <c:pt idx="288">
                  <c:v>22057.023999999998</c:v>
                </c:pt>
                <c:pt idx="289">
                  <c:v>22057.023999999998</c:v>
                </c:pt>
                <c:pt idx="290">
                  <c:v>22057.023999999998</c:v>
                </c:pt>
                <c:pt idx="291">
                  <c:v>22057.023999999998</c:v>
                </c:pt>
                <c:pt idx="292">
                  <c:v>22057.023999999998</c:v>
                </c:pt>
                <c:pt idx="293">
                  <c:v>22057.023999999998</c:v>
                </c:pt>
                <c:pt idx="294">
                  <c:v>22057.023999999998</c:v>
                </c:pt>
                <c:pt idx="295">
                  <c:v>22057.023999999998</c:v>
                </c:pt>
                <c:pt idx="296">
                  <c:v>22057.023999999998</c:v>
                </c:pt>
                <c:pt idx="297">
                  <c:v>22057.023999999998</c:v>
                </c:pt>
                <c:pt idx="298">
                  <c:v>22057.023999999998</c:v>
                </c:pt>
                <c:pt idx="299">
                  <c:v>22057.023999999998</c:v>
                </c:pt>
                <c:pt idx="300">
                  <c:v>22057.023999999998</c:v>
                </c:pt>
                <c:pt idx="301">
                  <c:v>22057.023999999998</c:v>
                </c:pt>
                <c:pt idx="302">
                  <c:v>22057.023999999998</c:v>
                </c:pt>
                <c:pt idx="303">
                  <c:v>22057.023999999998</c:v>
                </c:pt>
                <c:pt idx="304">
                  <c:v>22057.023999999998</c:v>
                </c:pt>
                <c:pt idx="305">
                  <c:v>22057.023999999998</c:v>
                </c:pt>
                <c:pt idx="306">
                  <c:v>22057.023999999998</c:v>
                </c:pt>
                <c:pt idx="307">
                  <c:v>22057.023999999998</c:v>
                </c:pt>
                <c:pt idx="308">
                  <c:v>22057.023999999998</c:v>
                </c:pt>
                <c:pt idx="309">
                  <c:v>22057.023999999998</c:v>
                </c:pt>
                <c:pt idx="310">
                  <c:v>22057.023999999998</c:v>
                </c:pt>
                <c:pt idx="311">
                  <c:v>22057.023999999998</c:v>
                </c:pt>
                <c:pt idx="312">
                  <c:v>22057.023999999998</c:v>
                </c:pt>
                <c:pt idx="313">
                  <c:v>22057.023999999998</c:v>
                </c:pt>
                <c:pt idx="314">
                  <c:v>22057.023999999998</c:v>
                </c:pt>
                <c:pt idx="315">
                  <c:v>22057.023999999998</c:v>
                </c:pt>
                <c:pt idx="316">
                  <c:v>22057.023999999998</c:v>
                </c:pt>
                <c:pt idx="317">
                  <c:v>22057.023999999998</c:v>
                </c:pt>
                <c:pt idx="318">
                  <c:v>22229.344499999999</c:v>
                </c:pt>
                <c:pt idx="319">
                  <c:v>22229.344499999999</c:v>
                </c:pt>
                <c:pt idx="320">
                  <c:v>22229.344499999999</c:v>
                </c:pt>
                <c:pt idx="321">
                  <c:v>22229.344499999999</c:v>
                </c:pt>
                <c:pt idx="322">
                  <c:v>22229.344499999999</c:v>
                </c:pt>
                <c:pt idx="323">
                  <c:v>22229.344499999999</c:v>
                </c:pt>
                <c:pt idx="324">
                  <c:v>22229.344499999999</c:v>
                </c:pt>
                <c:pt idx="325">
                  <c:v>22229.344499999999</c:v>
                </c:pt>
                <c:pt idx="326">
                  <c:v>22229.344499999999</c:v>
                </c:pt>
                <c:pt idx="327">
                  <c:v>22229.344499999999</c:v>
                </c:pt>
                <c:pt idx="328">
                  <c:v>22229.344499999999</c:v>
                </c:pt>
                <c:pt idx="329">
                  <c:v>22229.344499999999</c:v>
                </c:pt>
                <c:pt idx="330">
                  <c:v>22229.344499999999</c:v>
                </c:pt>
                <c:pt idx="331">
                  <c:v>22229.344499999999</c:v>
                </c:pt>
                <c:pt idx="332">
                  <c:v>22229.344499999999</c:v>
                </c:pt>
                <c:pt idx="333">
                  <c:v>22229.344499999999</c:v>
                </c:pt>
                <c:pt idx="334">
                  <c:v>22229.344499999999</c:v>
                </c:pt>
                <c:pt idx="335">
                  <c:v>22229.344499999999</c:v>
                </c:pt>
                <c:pt idx="336">
                  <c:v>22229.344499999999</c:v>
                </c:pt>
                <c:pt idx="337">
                  <c:v>22229.344499999999</c:v>
                </c:pt>
                <c:pt idx="338">
                  <c:v>22229.344499999999</c:v>
                </c:pt>
                <c:pt idx="339">
                  <c:v>22229.344499999999</c:v>
                </c:pt>
                <c:pt idx="340">
                  <c:v>22229.344499999999</c:v>
                </c:pt>
                <c:pt idx="341">
                  <c:v>22229.344499999999</c:v>
                </c:pt>
                <c:pt idx="342">
                  <c:v>22229.344499999999</c:v>
                </c:pt>
                <c:pt idx="343">
                  <c:v>22229.344499999999</c:v>
                </c:pt>
                <c:pt idx="344">
                  <c:v>22229.344499999999</c:v>
                </c:pt>
                <c:pt idx="345">
                  <c:v>22229.344499999999</c:v>
                </c:pt>
                <c:pt idx="346">
                  <c:v>22229.344499999999</c:v>
                </c:pt>
                <c:pt idx="347">
                  <c:v>22229.344499999999</c:v>
                </c:pt>
                <c:pt idx="348">
                  <c:v>22229.344499999999</c:v>
                </c:pt>
                <c:pt idx="349">
                  <c:v>22746.306</c:v>
                </c:pt>
                <c:pt idx="350">
                  <c:v>22746.306</c:v>
                </c:pt>
                <c:pt idx="351">
                  <c:v>22746.306</c:v>
                </c:pt>
                <c:pt idx="352">
                  <c:v>22746.306</c:v>
                </c:pt>
                <c:pt idx="353">
                  <c:v>22746.306</c:v>
                </c:pt>
                <c:pt idx="354">
                  <c:v>22746.306</c:v>
                </c:pt>
                <c:pt idx="355">
                  <c:v>22746.306</c:v>
                </c:pt>
                <c:pt idx="356">
                  <c:v>22746.306</c:v>
                </c:pt>
                <c:pt idx="357">
                  <c:v>22746.306</c:v>
                </c:pt>
                <c:pt idx="358">
                  <c:v>22746.306</c:v>
                </c:pt>
                <c:pt idx="359">
                  <c:v>22746.306</c:v>
                </c:pt>
                <c:pt idx="360">
                  <c:v>22746.306</c:v>
                </c:pt>
                <c:pt idx="361">
                  <c:v>22746.306</c:v>
                </c:pt>
                <c:pt idx="362">
                  <c:v>22746.306</c:v>
                </c:pt>
                <c:pt idx="363">
                  <c:v>22746.306</c:v>
                </c:pt>
                <c:pt idx="364">
                  <c:v>22746.306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43-4599-B49B-3573FFB5ADB1}"/>
            </c:ext>
          </c:extLst>
        </c:ser>
        <c:ser>
          <c:idx val="1"/>
          <c:order val="1"/>
          <c:tx>
            <c:strRef>
              <c:f>'Daily Simulation'!$N$5</c:f>
              <c:strCache>
                <c:ptCount val="1"/>
                <c:pt idx="0">
                  <c:v>Cum. Water
Used (L)</c:v>
                </c:pt>
              </c:strCache>
            </c:strRef>
          </c:tx>
          <c:spPr>
            <a:ln w="14040">
              <a:solidFill>
                <a:srgbClr val="3E7A5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'Daily Simulation'!$B$6:$B$370</c:f>
              <c:numCache>
                <c:formatCode>#,##0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'Daily Simulation'!$N$6:$N$370</c:f>
              <c:numCache>
                <c:formatCode>#,##0" L"</c:formatCode>
                <c:ptCount val="365"/>
                <c:pt idx="0">
                  <c:v>270</c:v>
                </c:pt>
                <c:pt idx="1">
                  <c:v>540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  <c:pt idx="12">
                  <c:v>800</c:v>
                </c:pt>
                <c:pt idx="13">
                  <c:v>800</c:v>
                </c:pt>
                <c:pt idx="14">
                  <c:v>800</c:v>
                </c:pt>
                <c:pt idx="15">
                  <c:v>1070</c:v>
                </c:pt>
                <c:pt idx="16">
                  <c:v>1144.6410000000001</c:v>
                </c:pt>
                <c:pt idx="17">
                  <c:v>1144.6410000000001</c:v>
                </c:pt>
                <c:pt idx="18">
                  <c:v>1144.6410000000001</c:v>
                </c:pt>
                <c:pt idx="19">
                  <c:v>1144.6410000000001</c:v>
                </c:pt>
                <c:pt idx="20">
                  <c:v>1144.6410000000001</c:v>
                </c:pt>
                <c:pt idx="21">
                  <c:v>1144.6410000000001</c:v>
                </c:pt>
                <c:pt idx="22">
                  <c:v>1144.6410000000001</c:v>
                </c:pt>
                <c:pt idx="23">
                  <c:v>1144.6410000000001</c:v>
                </c:pt>
                <c:pt idx="24">
                  <c:v>1144.6410000000001</c:v>
                </c:pt>
                <c:pt idx="25">
                  <c:v>1144.6410000000001</c:v>
                </c:pt>
                <c:pt idx="26">
                  <c:v>1144.6410000000001</c:v>
                </c:pt>
                <c:pt idx="27">
                  <c:v>1144.6410000000001</c:v>
                </c:pt>
                <c:pt idx="28">
                  <c:v>1144.6410000000001</c:v>
                </c:pt>
                <c:pt idx="29">
                  <c:v>1144.6410000000001</c:v>
                </c:pt>
                <c:pt idx="30">
                  <c:v>1144.6410000000001</c:v>
                </c:pt>
                <c:pt idx="31">
                  <c:v>1144.6410000000001</c:v>
                </c:pt>
                <c:pt idx="32">
                  <c:v>1144.6410000000001</c:v>
                </c:pt>
                <c:pt idx="33">
                  <c:v>1144.6410000000001</c:v>
                </c:pt>
                <c:pt idx="34">
                  <c:v>1144.6410000000001</c:v>
                </c:pt>
                <c:pt idx="35">
                  <c:v>1144.6410000000001</c:v>
                </c:pt>
                <c:pt idx="36">
                  <c:v>1144.6410000000001</c:v>
                </c:pt>
                <c:pt idx="37">
                  <c:v>1144.6410000000001</c:v>
                </c:pt>
                <c:pt idx="38">
                  <c:v>1144.6410000000001</c:v>
                </c:pt>
                <c:pt idx="39">
                  <c:v>1144.6410000000001</c:v>
                </c:pt>
                <c:pt idx="40">
                  <c:v>1144.6410000000001</c:v>
                </c:pt>
                <c:pt idx="41">
                  <c:v>1144.6410000000001</c:v>
                </c:pt>
                <c:pt idx="42">
                  <c:v>1144.6410000000001</c:v>
                </c:pt>
                <c:pt idx="43">
                  <c:v>1144.6410000000001</c:v>
                </c:pt>
                <c:pt idx="44">
                  <c:v>1316.9615000000001</c:v>
                </c:pt>
                <c:pt idx="45">
                  <c:v>1316.9615000000001</c:v>
                </c:pt>
                <c:pt idx="46">
                  <c:v>1316.9615000000001</c:v>
                </c:pt>
                <c:pt idx="47">
                  <c:v>1316.9615000000001</c:v>
                </c:pt>
                <c:pt idx="48">
                  <c:v>1316.9615000000001</c:v>
                </c:pt>
                <c:pt idx="49">
                  <c:v>1316.9615000000001</c:v>
                </c:pt>
                <c:pt idx="50">
                  <c:v>1316.9615000000001</c:v>
                </c:pt>
                <c:pt idx="51">
                  <c:v>1316.9615000000001</c:v>
                </c:pt>
                <c:pt idx="52">
                  <c:v>1316.9615000000001</c:v>
                </c:pt>
                <c:pt idx="53">
                  <c:v>1316.9615000000001</c:v>
                </c:pt>
                <c:pt idx="54">
                  <c:v>1316.9615000000001</c:v>
                </c:pt>
                <c:pt idx="55">
                  <c:v>1316.9615000000001</c:v>
                </c:pt>
                <c:pt idx="56">
                  <c:v>1316.9615000000001</c:v>
                </c:pt>
                <c:pt idx="57">
                  <c:v>1316.9615000000001</c:v>
                </c:pt>
                <c:pt idx="58">
                  <c:v>1316.9615000000001</c:v>
                </c:pt>
                <c:pt idx="59">
                  <c:v>1316.9615000000001</c:v>
                </c:pt>
                <c:pt idx="60">
                  <c:v>1316.9615000000001</c:v>
                </c:pt>
                <c:pt idx="61">
                  <c:v>1316.9615000000001</c:v>
                </c:pt>
                <c:pt idx="62">
                  <c:v>1316.9615000000001</c:v>
                </c:pt>
                <c:pt idx="63">
                  <c:v>1316.9615000000001</c:v>
                </c:pt>
                <c:pt idx="64">
                  <c:v>1316.9615000000001</c:v>
                </c:pt>
                <c:pt idx="65">
                  <c:v>1316.9615000000001</c:v>
                </c:pt>
                <c:pt idx="66">
                  <c:v>1316.9615000000001</c:v>
                </c:pt>
                <c:pt idx="67">
                  <c:v>1316.9615000000001</c:v>
                </c:pt>
                <c:pt idx="68">
                  <c:v>1316.9615000000001</c:v>
                </c:pt>
                <c:pt idx="69">
                  <c:v>1316.9615000000001</c:v>
                </c:pt>
                <c:pt idx="70">
                  <c:v>1316.9615000000001</c:v>
                </c:pt>
                <c:pt idx="71">
                  <c:v>1316.9615000000001</c:v>
                </c:pt>
                <c:pt idx="72">
                  <c:v>1316.9615000000001</c:v>
                </c:pt>
                <c:pt idx="73">
                  <c:v>1316.9615000000001</c:v>
                </c:pt>
                <c:pt idx="74">
                  <c:v>1316.9615000000001</c:v>
                </c:pt>
                <c:pt idx="75">
                  <c:v>1316.9615000000001</c:v>
                </c:pt>
                <c:pt idx="76">
                  <c:v>1316.9615000000001</c:v>
                </c:pt>
                <c:pt idx="77">
                  <c:v>1316.9615000000001</c:v>
                </c:pt>
                <c:pt idx="78">
                  <c:v>1316.9615000000001</c:v>
                </c:pt>
                <c:pt idx="79">
                  <c:v>1316.9615000000001</c:v>
                </c:pt>
                <c:pt idx="80">
                  <c:v>1316.9615000000001</c:v>
                </c:pt>
                <c:pt idx="81">
                  <c:v>1316.9615000000001</c:v>
                </c:pt>
                <c:pt idx="82">
                  <c:v>1316.9615000000001</c:v>
                </c:pt>
                <c:pt idx="83">
                  <c:v>1316.9615000000001</c:v>
                </c:pt>
                <c:pt idx="84">
                  <c:v>1316.9615000000001</c:v>
                </c:pt>
                <c:pt idx="85">
                  <c:v>1316.9615000000001</c:v>
                </c:pt>
                <c:pt idx="86">
                  <c:v>1316.9615000000001</c:v>
                </c:pt>
                <c:pt idx="87">
                  <c:v>1316.9615000000001</c:v>
                </c:pt>
                <c:pt idx="88">
                  <c:v>1316.9615000000001</c:v>
                </c:pt>
                <c:pt idx="89">
                  <c:v>1316.9615000000001</c:v>
                </c:pt>
                <c:pt idx="90">
                  <c:v>1316.9615000000001</c:v>
                </c:pt>
                <c:pt idx="91">
                  <c:v>1316.9615000000001</c:v>
                </c:pt>
                <c:pt idx="92">
                  <c:v>1316.9615000000001</c:v>
                </c:pt>
                <c:pt idx="93">
                  <c:v>1316.9615000000001</c:v>
                </c:pt>
                <c:pt idx="94">
                  <c:v>1316.9615000000001</c:v>
                </c:pt>
                <c:pt idx="95">
                  <c:v>1316.9615000000001</c:v>
                </c:pt>
                <c:pt idx="96">
                  <c:v>1316.9615000000001</c:v>
                </c:pt>
                <c:pt idx="97">
                  <c:v>1316.9615000000001</c:v>
                </c:pt>
                <c:pt idx="98">
                  <c:v>1316.9615000000001</c:v>
                </c:pt>
                <c:pt idx="99">
                  <c:v>1316.9615000000001</c:v>
                </c:pt>
                <c:pt idx="100">
                  <c:v>1316.9615000000001</c:v>
                </c:pt>
                <c:pt idx="101">
                  <c:v>1316.9615000000001</c:v>
                </c:pt>
                <c:pt idx="102">
                  <c:v>1316.9615000000001</c:v>
                </c:pt>
                <c:pt idx="103">
                  <c:v>1316.9615000000001</c:v>
                </c:pt>
                <c:pt idx="104">
                  <c:v>1316.9615000000001</c:v>
                </c:pt>
                <c:pt idx="105">
                  <c:v>1316.9615000000001</c:v>
                </c:pt>
                <c:pt idx="106">
                  <c:v>1316.9615000000001</c:v>
                </c:pt>
                <c:pt idx="107">
                  <c:v>1316.9615000000001</c:v>
                </c:pt>
                <c:pt idx="108">
                  <c:v>1316.9615000000001</c:v>
                </c:pt>
                <c:pt idx="109">
                  <c:v>1316.9615000000001</c:v>
                </c:pt>
                <c:pt idx="110">
                  <c:v>1316.9615000000001</c:v>
                </c:pt>
                <c:pt idx="111">
                  <c:v>1316.9615000000001</c:v>
                </c:pt>
                <c:pt idx="112">
                  <c:v>1316.9615000000001</c:v>
                </c:pt>
                <c:pt idx="113">
                  <c:v>1316.9615000000001</c:v>
                </c:pt>
                <c:pt idx="114">
                  <c:v>1316.9615000000001</c:v>
                </c:pt>
                <c:pt idx="115">
                  <c:v>1316.9615000000001</c:v>
                </c:pt>
                <c:pt idx="116">
                  <c:v>1316.9615000000001</c:v>
                </c:pt>
                <c:pt idx="117">
                  <c:v>1316.9615000000001</c:v>
                </c:pt>
                <c:pt idx="118">
                  <c:v>1316.9615000000001</c:v>
                </c:pt>
                <c:pt idx="119">
                  <c:v>1316.9615000000001</c:v>
                </c:pt>
                <c:pt idx="120">
                  <c:v>1316.9615000000001</c:v>
                </c:pt>
                <c:pt idx="121">
                  <c:v>1316.9615000000001</c:v>
                </c:pt>
                <c:pt idx="122">
                  <c:v>1316.9615000000001</c:v>
                </c:pt>
                <c:pt idx="123">
                  <c:v>1316.9615000000001</c:v>
                </c:pt>
                <c:pt idx="124">
                  <c:v>1316.9615000000001</c:v>
                </c:pt>
                <c:pt idx="125">
                  <c:v>1316.9615000000001</c:v>
                </c:pt>
                <c:pt idx="126">
                  <c:v>1316.9615000000001</c:v>
                </c:pt>
                <c:pt idx="127">
                  <c:v>1316.9615000000001</c:v>
                </c:pt>
                <c:pt idx="128">
                  <c:v>1316.9615000000001</c:v>
                </c:pt>
                <c:pt idx="129">
                  <c:v>1316.9615000000001</c:v>
                </c:pt>
                <c:pt idx="130">
                  <c:v>1316.9615000000001</c:v>
                </c:pt>
                <c:pt idx="131">
                  <c:v>1316.9615000000001</c:v>
                </c:pt>
                <c:pt idx="132">
                  <c:v>1316.9615000000001</c:v>
                </c:pt>
                <c:pt idx="133">
                  <c:v>1316.9615000000001</c:v>
                </c:pt>
                <c:pt idx="134">
                  <c:v>1316.9615000000001</c:v>
                </c:pt>
                <c:pt idx="135">
                  <c:v>1316.9615000000001</c:v>
                </c:pt>
                <c:pt idx="136">
                  <c:v>1316.9615000000001</c:v>
                </c:pt>
                <c:pt idx="137">
                  <c:v>1316.9615000000001</c:v>
                </c:pt>
                <c:pt idx="138">
                  <c:v>1316.9615000000001</c:v>
                </c:pt>
                <c:pt idx="139">
                  <c:v>1316.9615000000001</c:v>
                </c:pt>
                <c:pt idx="140">
                  <c:v>1316.9615000000001</c:v>
                </c:pt>
                <c:pt idx="141">
                  <c:v>1316.9615000000001</c:v>
                </c:pt>
                <c:pt idx="142">
                  <c:v>1316.9615000000001</c:v>
                </c:pt>
                <c:pt idx="143">
                  <c:v>1316.9615000000001</c:v>
                </c:pt>
                <c:pt idx="144">
                  <c:v>1316.9615000000001</c:v>
                </c:pt>
                <c:pt idx="145">
                  <c:v>1316.9615000000001</c:v>
                </c:pt>
                <c:pt idx="146">
                  <c:v>1316.9615000000001</c:v>
                </c:pt>
                <c:pt idx="147">
                  <c:v>1316.9615000000001</c:v>
                </c:pt>
                <c:pt idx="148">
                  <c:v>1316.9615000000001</c:v>
                </c:pt>
                <c:pt idx="149">
                  <c:v>1316.9615000000001</c:v>
                </c:pt>
                <c:pt idx="150">
                  <c:v>1316.9615000000001</c:v>
                </c:pt>
                <c:pt idx="151">
                  <c:v>1316.9615000000001</c:v>
                </c:pt>
                <c:pt idx="152">
                  <c:v>1316.9615000000001</c:v>
                </c:pt>
                <c:pt idx="153">
                  <c:v>1316.9615000000001</c:v>
                </c:pt>
                <c:pt idx="154">
                  <c:v>1316.9615000000001</c:v>
                </c:pt>
                <c:pt idx="155">
                  <c:v>1316.9615000000001</c:v>
                </c:pt>
                <c:pt idx="156">
                  <c:v>1316.9615000000001</c:v>
                </c:pt>
                <c:pt idx="157">
                  <c:v>1316.9615000000001</c:v>
                </c:pt>
                <c:pt idx="158">
                  <c:v>1316.9615000000001</c:v>
                </c:pt>
                <c:pt idx="159">
                  <c:v>1316.9615000000001</c:v>
                </c:pt>
                <c:pt idx="160">
                  <c:v>1403.1217500000002</c:v>
                </c:pt>
                <c:pt idx="161">
                  <c:v>1403.1217500000002</c:v>
                </c:pt>
                <c:pt idx="162">
                  <c:v>1403.1217500000002</c:v>
                </c:pt>
                <c:pt idx="163">
                  <c:v>1403.1217500000002</c:v>
                </c:pt>
                <c:pt idx="164">
                  <c:v>1403.1217500000002</c:v>
                </c:pt>
                <c:pt idx="165">
                  <c:v>1403.1217500000002</c:v>
                </c:pt>
                <c:pt idx="166">
                  <c:v>1403.1217500000002</c:v>
                </c:pt>
                <c:pt idx="167">
                  <c:v>1403.1217500000002</c:v>
                </c:pt>
                <c:pt idx="168">
                  <c:v>1403.1217500000002</c:v>
                </c:pt>
                <c:pt idx="169">
                  <c:v>1403.1217500000002</c:v>
                </c:pt>
                <c:pt idx="170">
                  <c:v>1489.2820000000002</c:v>
                </c:pt>
                <c:pt idx="171">
                  <c:v>1489.2820000000002</c:v>
                </c:pt>
                <c:pt idx="172">
                  <c:v>1489.2820000000002</c:v>
                </c:pt>
                <c:pt idx="173">
                  <c:v>1489.2820000000002</c:v>
                </c:pt>
                <c:pt idx="174">
                  <c:v>1489.2820000000002</c:v>
                </c:pt>
                <c:pt idx="175">
                  <c:v>1489.2820000000002</c:v>
                </c:pt>
                <c:pt idx="176">
                  <c:v>1489.2820000000002</c:v>
                </c:pt>
                <c:pt idx="177">
                  <c:v>1489.2820000000002</c:v>
                </c:pt>
                <c:pt idx="178">
                  <c:v>1489.2820000000002</c:v>
                </c:pt>
                <c:pt idx="179">
                  <c:v>1489.2820000000002</c:v>
                </c:pt>
                <c:pt idx="180">
                  <c:v>1489.2820000000002</c:v>
                </c:pt>
                <c:pt idx="181">
                  <c:v>1489.2820000000002</c:v>
                </c:pt>
                <c:pt idx="182">
                  <c:v>1489.2820000000002</c:v>
                </c:pt>
                <c:pt idx="183">
                  <c:v>1489.2820000000002</c:v>
                </c:pt>
                <c:pt idx="184">
                  <c:v>1759.2820000000002</c:v>
                </c:pt>
                <c:pt idx="185">
                  <c:v>2029.2820000000002</c:v>
                </c:pt>
                <c:pt idx="186">
                  <c:v>2299.2820000000002</c:v>
                </c:pt>
                <c:pt idx="187">
                  <c:v>2569.2820000000002</c:v>
                </c:pt>
                <c:pt idx="188">
                  <c:v>2839.2820000000002</c:v>
                </c:pt>
                <c:pt idx="189">
                  <c:v>3109.2820000000002</c:v>
                </c:pt>
                <c:pt idx="190">
                  <c:v>3379.2820000000002</c:v>
                </c:pt>
                <c:pt idx="191">
                  <c:v>3649.2820000000002</c:v>
                </c:pt>
                <c:pt idx="192">
                  <c:v>3919.2820000000002</c:v>
                </c:pt>
                <c:pt idx="193">
                  <c:v>4189.2820000000002</c:v>
                </c:pt>
                <c:pt idx="194">
                  <c:v>4459.2820000000002</c:v>
                </c:pt>
                <c:pt idx="195">
                  <c:v>4729.2820000000002</c:v>
                </c:pt>
                <c:pt idx="196">
                  <c:v>4999.2820000000002</c:v>
                </c:pt>
                <c:pt idx="197">
                  <c:v>5269.2820000000002</c:v>
                </c:pt>
                <c:pt idx="198">
                  <c:v>5539.2820000000002</c:v>
                </c:pt>
                <c:pt idx="199">
                  <c:v>5809.2820000000002</c:v>
                </c:pt>
                <c:pt idx="200">
                  <c:v>6079.2820000000002</c:v>
                </c:pt>
                <c:pt idx="201">
                  <c:v>6349.2820000000002</c:v>
                </c:pt>
                <c:pt idx="202">
                  <c:v>6619.2820000000002</c:v>
                </c:pt>
                <c:pt idx="203">
                  <c:v>6889.2820000000002</c:v>
                </c:pt>
                <c:pt idx="204">
                  <c:v>7159.2820000000002</c:v>
                </c:pt>
                <c:pt idx="205">
                  <c:v>7429.2820000000002</c:v>
                </c:pt>
                <c:pt idx="206">
                  <c:v>7699.2820000000002</c:v>
                </c:pt>
                <c:pt idx="207">
                  <c:v>7969.2820000000002</c:v>
                </c:pt>
                <c:pt idx="208">
                  <c:v>8239.2819999999992</c:v>
                </c:pt>
                <c:pt idx="209">
                  <c:v>8509.2819999999992</c:v>
                </c:pt>
                <c:pt idx="210">
                  <c:v>8779.2819999999992</c:v>
                </c:pt>
                <c:pt idx="211">
                  <c:v>9049.2819999999992</c:v>
                </c:pt>
                <c:pt idx="212">
                  <c:v>9319.2819999999992</c:v>
                </c:pt>
                <c:pt idx="213">
                  <c:v>9589.2819999999992</c:v>
                </c:pt>
                <c:pt idx="214">
                  <c:v>9859.2819999999992</c:v>
                </c:pt>
                <c:pt idx="215">
                  <c:v>10129.281999999999</c:v>
                </c:pt>
                <c:pt idx="216">
                  <c:v>10399.281999999999</c:v>
                </c:pt>
                <c:pt idx="217">
                  <c:v>10669.281999999999</c:v>
                </c:pt>
                <c:pt idx="218">
                  <c:v>10939.281999999999</c:v>
                </c:pt>
                <c:pt idx="219">
                  <c:v>11209.281999999999</c:v>
                </c:pt>
                <c:pt idx="220">
                  <c:v>11479.281999999999</c:v>
                </c:pt>
                <c:pt idx="221">
                  <c:v>11749.281999999999</c:v>
                </c:pt>
                <c:pt idx="222">
                  <c:v>12019.281999999999</c:v>
                </c:pt>
                <c:pt idx="223">
                  <c:v>12289.281999999999</c:v>
                </c:pt>
                <c:pt idx="224">
                  <c:v>12559.281999999999</c:v>
                </c:pt>
                <c:pt idx="225">
                  <c:v>12829.281999999999</c:v>
                </c:pt>
                <c:pt idx="226">
                  <c:v>13099.281999999999</c:v>
                </c:pt>
                <c:pt idx="227">
                  <c:v>13369.281999999999</c:v>
                </c:pt>
                <c:pt idx="228">
                  <c:v>13639.281999999999</c:v>
                </c:pt>
                <c:pt idx="229">
                  <c:v>13909.281999999999</c:v>
                </c:pt>
                <c:pt idx="230">
                  <c:v>14179.281999999999</c:v>
                </c:pt>
                <c:pt idx="231">
                  <c:v>14449.281999999999</c:v>
                </c:pt>
                <c:pt idx="232">
                  <c:v>14719.281999999999</c:v>
                </c:pt>
                <c:pt idx="233">
                  <c:v>14989.281999999999</c:v>
                </c:pt>
                <c:pt idx="234">
                  <c:v>15259.281999999999</c:v>
                </c:pt>
                <c:pt idx="235">
                  <c:v>15529.281999999999</c:v>
                </c:pt>
                <c:pt idx="236">
                  <c:v>15799.281999999999</c:v>
                </c:pt>
                <c:pt idx="237">
                  <c:v>16069.281999999999</c:v>
                </c:pt>
                <c:pt idx="238">
                  <c:v>16339.281999999999</c:v>
                </c:pt>
                <c:pt idx="239">
                  <c:v>16609.281999999999</c:v>
                </c:pt>
                <c:pt idx="240">
                  <c:v>16879.281999999999</c:v>
                </c:pt>
                <c:pt idx="241">
                  <c:v>17149.281999999999</c:v>
                </c:pt>
                <c:pt idx="242">
                  <c:v>17419.281999999999</c:v>
                </c:pt>
                <c:pt idx="243">
                  <c:v>17689.281999999999</c:v>
                </c:pt>
                <c:pt idx="244">
                  <c:v>17959.281999999999</c:v>
                </c:pt>
                <c:pt idx="245">
                  <c:v>18229.281999999999</c:v>
                </c:pt>
                <c:pt idx="246">
                  <c:v>18499.281999999999</c:v>
                </c:pt>
                <c:pt idx="247">
                  <c:v>18769.281999999999</c:v>
                </c:pt>
                <c:pt idx="248">
                  <c:v>19039.281999999999</c:v>
                </c:pt>
                <c:pt idx="249">
                  <c:v>19309.281999999999</c:v>
                </c:pt>
                <c:pt idx="250">
                  <c:v>19579.281999999999</c:v>
                </c:pt>
                <c:pt idx="251">
                  <c:v>19849.281999999999</c:v>
                </c:pt>
                <c:pt idx="252">
                  <c:v>20119.281999999999</c:v>
                </c:pt>
                <c:pt idx="253">
                  <c:v>20389.281999999999</c:v>
                </c:pt>
                <c:pt idx="254">
                  <c:v>20659.281999999999</c:v>
                </c:pt>
                <c:pt idx="255">
                  <c:v>20929.281999999999</c:v>
                </c:pt>
                <c:pt idx="256">
                  <c:v>21199.281999999999</c:v>
                </c:pt>
                <c:pt idx="257">
                  <c:v>21469.281999999999</c:v>
                </c:pt>
                <c:pt idx="258">
                  <c:v>21739.281999999999</c:v>
                </c:pt>
                <c:pt idx="259">
                  <c:v>21995.421499999997</c:v>
                </c:pt>
                <c:pt idx="260">
                  <c:v>21995.421499999997</c:v>
                </c:pt>
                <c:pt idx="261">
                  <c:v>21995.421499999997</c:v>
                </c:pt>
                <c:pt idx="262">
                  <c:v>21995.421499999997</c:v>
                </c:pt>
                <c:pt idx="263">
                  <c:v>21995.421499999997</c:v>
                </c:pt>
                <c:pt idx="264">
                  <c:v>22265.421499999997</c:v>
                </c:pt>
                <c:pt idx="265">
                  <c:v>22535.421499999997</c:v>
                </c:pt>
                <c:pt idx="266">
                  <c:v>22684.703499999996</c:v>
                </c:pt>
                <c:pt idx="267">
                  <c:v>22684.703499999996</c:v>
                </c:pt>
                <c:pt idx="268">
                  <c:v>22684.703499999996</c:v>
                </c:pt>
                <c:pt idx="269">
                  <c:v>22684.703499999996</c:v>
                </c:pt>
                <c:pt idx="270">
                  <c:v>22684.703499999996</c:v>
                </c:pt>
                <c:pt idx="271">
                  <c:v>22684.703499999996</c:v>
                </c:pt>
                <c:pt idx="272">
                  <c:v>22684.703499999996</c:v>
                </c:pt>
                <c:pt idx="273">
                  <c:v>22684.703499999996</c:v>
                </c:pt>
                <c:pt idx="274">
                  <c:v>22684.703499999996</c:v>
                </c:pt>
                <c:pt idx="275">
                  <c:v>22684.703499999996</c:v>
                </c:pt>
                <c:pt idx="276">
                  <c:v>22684.703499999996</c:v>
                </c:pt>
                <c:pt idx="277">
                  <c:v>22684.703499999996</c:v>
                </c:pt>
                <c:pt idx="278">
                  <c:v>22684.703499999996</c:v>
                </c:pt>
                <c:pt idx="279">
                  <c:v>22684.703499999996</c:v>
                </c:pt>
                <c:pt idx="280">
                  <c:v>22684.703499999996</c:v>
                </c:pt>
                <c:pt idx="281">
                  <c:v>22684.703499999996</c:v>
                </c:pt>
                <c:pt idx="282">
                  <c:v>22684.703499999996</c:v>
                </c:pt>
                <c:pt idx="283">
                  <c:v>22684.703499999996</c:v>
                </c:pt>
                <c:pt idx="284">
                  <c:v>22684.703499999996</c:v>
                </c:pt>
                <c:pt idx="285">
                  <c:v>22684.703499999996</c:v>
                </c:pt>
                <c:pt idx="286">
                  <c:v>22684.703499999996</c:v>
                </c:pt>
                <c:pt idx="287">
                  <c:v>22684.703499999996</c:v>
                </c:pt>
                <c:pt idx="288">
                  <c:v>22857.023999999998</c:v>
                </c:pt>
                <c:pt idx="289">
                  <c:v>22857.023999999998</c:v>
                </c:pt>
                <c:pt idx="290">
                  <c:v>22857.023999999998</c:v>
                </c:pt>
                <c:pt idx="291">
                  <c:v>22857.023999999998</c:v>
                </c:pt>
                <c:pt idx="292">
                  <c:v>22857.023999999998</c:v>
                </c:pt>
                <c:pt idx="293">
                  <c:v>22857.023999999998</c:v>
                </c:pt>
                <c:pt idx="294">
                  <c:v>22857.023999999998</c:v>
                </c:pt>
                <c:pt idx="295">
                  <c:v>22857.023999999998</c:v>
                </c:pt>
                <c:pt idx="296">
                  <c:v>22857.023999999998</c:v>
                </c:pt>
                <c:pt idx="297">
                  <c:v>22857.023999999998</c:v>
                </c:pt>
                <c:pt idx="298">
                  <c:v>22857.023999999998</c:v>
                </c:pt>
                <c:pt idx="299">
                  <c:v>22857.023999999998</c:v>
                </c:pt>
                <c:pt idx="300">
                  <c:v>22857.023999999998</c:v>
                </c:pt>
                <c:pt idx="301">
                  <c:v>22857.023999999998</c:v>
                </c:pt>
                <c:pt idx="302">
                  <c:v>22857.023999999998</c:v>
                </c:pt>
                <c:pt idx="303">
                  <c:v>22857.023999999998</c:v>
                </c:pt>
                <c:pt idx="304">
                  <c:v>22857.023999999998</c:v>
                </c:pt>
                <c:pt idx="305">
                  <c:v>22857.023999999998</c:v>
                </c:pt>
                <c:pt idx="306">
                  <c:v>22857.023999999998</c:v>
                </c:pt>
                <c:pt idx="307">
                  <c:v>22857.023999999998</c:v>
                </c:pt>
                <c:pt idx="308">
                  <c:v>22857.023999999998</c:v>
                </c:pt>
                <c:pt idx="309">
                  <c:v>22857.023999999998</c:v>
                </c:pt>
                <c:pt idx="310">
                  <c:v>22857.023999999998</c:v>
                </c:pt>
                <c:pt idx="311">
                  <c:v>22857.023999999998</c:v>
                </c:pt>
                <c:pt idx="312">
                  <c:v>22857.023999999998</c:v>
                </c:pt>
                <c:pt idx="313">
                  <c:v>22857.023999999998</c:v>
                </c:pt>
                <c:pt idx="314">
                  <c:v>22857.023999999998</c:v>
                </c:pt>
                <c:pt idx="315">
                  <c:v>22857.023999999998</c:v>
                </c:pt>
                <c:pt idx="316">
                  <c:v>22857.023999999998</c:v>
                </c:pt>
                <c:pt idx="317">
                  <c:v>22857.023999999998</c:v>
                </c:pt>
                <c:pt idx="318">
                  <c:v>23029.344499999999</c:v>
                </c:pt>
                <c:pt idx="319">
                  <c:v>23029.344499999999</c:v>
                </c:pt>
                <c:pt idx="320">
                  <c:v>23029.344499999999</c:v>
                </c:pt>
                <c:pt idx="321">
                  <c:v>23029.344499999999</c:v>
                </c:pt>
                <c:pt idx="322">
                  <c:v>23029.344499999999</c:v>
                </c:pt>
                <c:pt idx="323">
                  <c:v>23029.344499999999</c:v>
                </c:pt>
                <c:pt idx="324">
                  <c:v>23029.344499999999</c:v>
                </c:pt>
                <c:pt idx="325">
                  <c:v>23029.344499999999</c:v>
                </c:pt>
                <c:pt idx="326">
                  <c:v>23029.344499999999</c:v>
                </c:pt>
                <c:pt idx="327">
                  <c:v>23029.344499999999</c:v>
                </c:pt>
                <c:pt idx="328">
                  <c:v>23029.344499999999</c:v>
                </c:pt>
                <c:pt idx="329">
                  <c:v>23029.344499999999</c:v>
                </c:pt>
                <c:pt idx="330">
                  <c:v>23029.344499999999</c:v>
                </c:pt>
                <c:pt idx="331">
                  <c:v>23029.344499999999</c:v>
                </c:pt>
                <c:pt idx="332">
                  <c:v>23029.344499999999</c:v>
                </c:pt>
                <c:pt idx="333">
                  <c:v>23029.344499999999</c:v>
                </c:pt>
                <c:pt idx="334">
                  <c:v>23029.344499999999</c:v>
                </c:pt>
                <c:pt idx="335">
                  <c:v>23029.344499999999</c:v>
                </c:pt>
                <c:pt idx="336">
                  <c:v>23029.344499999999</c:v>
                </c:pt>
                <c:pt idx="337">
                  <c:v>23029.344499999999</c:v>
                </c:pt>
                <c:pt idx="338">
                  <c:v>23029.344499999999</c:v>
                </c:pt>
                <c:pt idx="339">
                  <c:v>23029.344499999999</c:v>
                </c:pt>
                <c:pt idx="340">
                  <c:v>23029.344499999999</c:v>
                </c:pt>
                <c:pt idx="341">
                  <c:v>23029.344499999999</c:v>
                </c:pt>
                <c:pt idx="342">
                  <c:v>23029.344499999999</c:v>
                </c:pt>
                <c:pt idx="343">
                  <c:v>23029.344499999999</c:v>
                </c:pt>
                <c:pt idx="344">
                  <c:v>23029.344499999999</c:v>
                </c:pt>
                <c:pt idx="345">
                  <c:v>23029.344499999999</c:v>
                </c:pt>
                <c:pt idx="346">
                  <c:v>23029.344499999999</c:v>
                </c:pt>
                <c:pt idx="347">
                  <c:v>23029.344499999999</c:v>
                </c:pt>
                <c:pt idx="348">
                  <c:v>23029.344499999999</c:v>
                </c:pt>
                <c:pt idx="349">
                  <c:v>23299.344499999999</c:v>
                </c:pt>
                <c:pt idx="350">
                  <c:v>23546.306</c:v>
                </c:pt>
                <c:pt idx="351">
                  <c:v>23546.306</c:v>
                </c:pt>
                <c:pt idx="352">
                  <c:v>23546.306</c:v>
                </c:pt>
                <c:pt idx="353">
                  <c:v>23546.306</c:v>
                </c:pt>
                <c:pt idx="354">
                  <c:v>23546.306</c:v>
                </c:pt>
                <c:pt idx="355">
                  <c:v>23546.306</c:v>
                </c:pt>
                <c:pt idx="356">
                  <c:v>23546.306</c:v>
                </c:pt>
                <c:pt idx="357">
                  <c:v>23546.306</c:v>
                </c:pt>
                <c:pt idx="358">
                  <c:v>23546.306</c:v>
                </c:pt>
                <c:pt idx="359">
                  <c:v>23546.306</c:v>
                </c:pt>
                <c:pt idx="360">
                  <c:v>23546.306</c:v>
                </c:pt>
                <c:pt idx="361">
                  <c:v>23546.306</c:v>
                </c:pt>
                <c:pt idx="362">
                  <c:v>23546.306</c:v>
                </c:pt>
                <c:pt idx="363">
                  <c:v>23546.306</c:v>
                </c:pt>
                <c:pt idx="364">
                  <c:v>23546.306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43-4599-B49B-3573FFB5ADB1}"/>
            </c:ext>
          </c:extLst>
        </c:ser>
        <c:ser>
          <c:idx val="2"/>
          <c:order val="2"/>
          <c:tx>
            <c:strRef>
              <c:f>'Daily Simulation'!$O$5</c:f>
              <c:strCache>
                <c:ptCount val="1"/>
                <c:pt idx="0">
                  <c:v>Cum.
Overflow (L)</c:v>
                </c:pt>
              </c:strCache>
            </c:strRef>
          </c:tx>
          <c:spPr>
            <a:ln w="14040">
              <a:solidFill>
                <a:srgbClr val="B8792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'Daily Simulation'!$B$6:$B$370</c:f>
              <c:numCache>
                <c:formatCode>#,##0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'Daily Simulation'!$O$6:$O$370</c:f>
              <c:numCache>
                <c:formatCode>#,##0" L"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43-4599-B49B-3573FFB5A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3417993"/>
        <c:axId val="79879316"/>
      </c:lineChart>
      <c:catAx>
        <c:axId val="63417993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879316"/>
        <c:crosses val="autoZero"/>
        <c:auto val="1"/>
        <c:lblAlgn val="ctr"/>
        <c:lblOffset val="100"/>
        <c:noMultiLvlLbl val="0"/>
      </c:catAx>
      <c:valAx>
        <c:axId val="798793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Litres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L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4179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Demand vs Water Supplied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Summary'!$E$5</c:f>
              <c:strCache>
                <c:ptCount val="1"/>
                <c:pt idx="0">
                  <c:v>Demand
(L)</c:v>
                </c:pt>
              </c:strCache>
            </c:strRef>
          </c:tx>
          <c:spPr>
            <a:solidFill>
              <a:srgbClr val="A8B3C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Summary'!$E$6:$E$17</c:f>
              <c:numCache>
                <c:formatCode>#,##0" L"</c:formatCode>
                <c:ptCount val="12"/>
                <c:pt idx="0">
                  <c:v>8370</c:v>
                </c:pt>
                <c:pt idx="1">
                  <c:v>7560</c:v>
                </c:pt>
                <c:pt idx="2">
                  <c:v>8370</c:v>
                </c:pt>
                <c:pt idx="3">
                  <c:v>8100</c:v>
                </c:pt>
                <c:pt idx="4">
                  <c:v>8370</c:v>
                </c:pt>
                <c:pt idx="5">
                  <c:v>8100</c:v>
                </c:pt>
                <c:pt idx="6">
                  <c:v>8370</c:v>
                </c:pt>
                <c:pt idx="7">
                  <c:v>8370</c:v>
                </c:pt>
                <c:pt idx="8">
                  <c:v>8100</c:v>
                </c:pt>
                <c:pt idx="9">
                  <c:v>8370</c:v>
                </c:pt>
                <c:pt idx="10">
                  <c:v>8100</c:v>
                </c:pt>
                <c:pt idx="11">
                  <c:v>8370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48-416E-A166-6BC20842B9BB}"/>
            </c:ext>
          </c:extLst>
        </c:ser>
        <c:ser>
          <c:idx val="1"/>
          <c:order val="1"/>
          <c:tx>
            <c:strRef>
              <c:f>'Monthly Summary'!$F$5</c:f>
              <c:strCache>
                <c:ptCount val="1"/>
                <c:pt idx="0">
                  <c:v>Water
Supplied (L)</c:v>
                </c:pt>
              </c:strCache>
            </c:strRef>
          </c:tx>
          <c:spPr>
            <a:solidFill>
              <a:srgbClr val="3E7A5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Summary'!$F$6:$F$17</c:f>
              <c:numCache>
                <c:formatCode>#,##0" L"</c:formatCode>
                <c:ptCount val="12"/>
                <c:pt idx="0">
                  <c:v>1144.6410000000001</c:v>
                </c:pt>
                <c:pt idx="1">
                  <c:v>172.32049999999998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172.32050000000004</c:v>
                </c:pt>
                <c:pt idx="6">
                  <c:v>7560</c:v>
                </c:pt>
                <c:pt idx="7">
                  <c:v>8370</c:v>
                </c:pt>
                <c:pt idx="8">
                  <c:v>5265.4214999999995</c:v>
                </c:pt>
                <c:pt idx="9">
                  <c:v>172.32049999999998</c:v>
                </c:pt>
                <c:pt idx="10">
                  <c:v>172.32049999999998</c:v>
                </c:pt>
                <c:pt idx="11">
                  <c:v>516.9615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48-416E-A166-6BC20842B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598588"/>
        <c:axId val="42548581"/>
      </c:barChart>
      <c:catAx>
        <c:axId val="835985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548581"/>
        <c:crosses val="autoZero"/>
        <c:auto val="1"/>
        <c:lblAlgn val="ctr"/>
        <c:lblOffset val="100"/>
        <c:noMultiLvlLbl val="0"/>
      </c:catAx>
      <c:valAx>
        <c:axId val="425485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Litres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L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5985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Overflow vs Shortage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Summary'!$G$5</c:f>
              <c:strCache>
                <c:ptCount val="1"/>
                <c:pt idx="0">
                  <c:v>Overflow
(L)</c:v>
                </c:pt>
              </c:strCache>
            </c:strRef>
          </c:tx>
          <c:spPr>
            <a:solidFill>
              <a:srgbClr val="B8792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Summary'!$G$6:$G$17</c:f>
              <c:numCache>
                <c:formatCode>#,##0" L"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B-4427-B5E6-1F288B76A249}"/>
            </c:ext>
          </c:extLst>
        </c:ser>
        <c:ser>
          <c:idx val="1"/>
          <c:order val="1"/>
          <c:tx>
            <c:strRef>
              <c:f>'Monthly Summary'!$H$5</c:f>
              <c:strCache>
                <c:ptCount val="1"/>
                <c:pt idx="0">
                  <c:v>Shortage
(L)</c:v>
                </c:pt>
              </c:strCache>
            </c:strRef>
          </c:tx>
          <c:spPr>
            <a:solidFill>
              <a:srgbClr val="A13E3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Summary'!$H$6:$H$17</c:f>
              <c:numCache>
                <c:formatCode>#,##0" L"</c:formatCode>
                <c:ptCount val="12"/>
                <c:pt idx="0">
                  <c:v>7225.3590000000004</c:v>
                </c:pt>
                <c:pt idx="1">
                  <c:v>7387.6795000000002</c:v>
                </c:pt>
                <c:pt idx="2">
                  <c:v>8370</c:v>
                </c:pt>
                <c:pt idx="3">
                  <c:v>8100</c:v>
                </c:pt>
                <c:pt idx="4">
                  <c:v>8370</c:v>
                </c:pt>
                <c:pt idx="5">
                  <c:v>7927.6795000000002</c:v>
                </c:pt>
                <c:pt idx="6">
                  <c:v>810</c:v>
                </c:pt>
                <c:pt idx="7">
                  <c:v>0</c:v>
                </c:pt>
                <c:pt idx="8">
                  <c:v>2834.578500000001</c:v>
                </c:pt>
                <c:pt idx="9">
                  <c:v>8197.6795000000002</c:v>
                </c:pt>
                <c:pt idx="10">
                  <c:v>7927.6795000000002</c:v>
                </c:pt>
                <c:pt idx="11">
                  <c:v>7853.0385000000006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BB-4427-B5E6-1F288B76A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561312"/>
        <c:axId val="5782297"/>
      </c:barChart>
      <c:catAx>
        <c:axId val="395613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82297"/>
        <c:crosses val="autoZero"/>
        <c:auto val="1"/>
        <c:lblAlgn val="ctr"/>
        <c:lblOffset val="100"/>
        <c:noMultiLvlLbl val="0"/>
      </c:catAx>
      <c:valAx>
        <c:axId val="578229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Litres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L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5613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Scenario Comparison — Reliability vs Tank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'Tank Optimization'!$F$33</c:f>
              <c:strCache>
                <c:ptCount val="1"/>
                <c:pt idx="0">
                  <c:v>Est.
Reliability</c:v>
                </c:pt>
              </c:strCache>
            </c:strRef>
          </c:tx>
          <c:spPr>
            <a:ln w="14040">
              <a:solidFill>
                <a:srgbClr val="3E7A5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'Tank Optimization'!$B$34:$B$48</c:f>
              <c:numCache>
                <c:formatCode>#,##0</c:formatCode>
                <c:ptCount val="1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4000</c:v>
                </c:pt>
                <c:pt idx="7">
                  <c:v>5000</c:v>
                </c:pt>
                <c:pt idx="8">
                  <c:v>6000</c:v>
                </c:pt>
                <c:pt idx="9">
                  <c:v>7000</c:v>
                </c:pt>
                <c:pt idx="10">
                  <c:v>8000</c:v>
                </c:pt>
                <c:pt idx="11">
                  <c:v>10000</c:v>
                </c:pt>
                <c:pt idx="12">
                  <c:v>12000</c:v>
                </c:pt>
                <c:pt idx="13">
                  <c:v>15000</c:v>
                </c:pt>
                <c:pt idx="14">
                  <c:v>20000</c:v>
                </c:pt>
              </c:numCache>
            </c:numRef>
          </c:cat>
          <c:val>
            <c:numRef>
              <c:f>'Tank Optimization'!$F$34:$F$48</c:f>
              <c:numCache>
                <c:formatCode>0.0%</c:formatCode>
                <c:ptCount val="15"/>
                <c:pt idx="0">
                  <c:v>0.22655075088787416</c:v>
                </c:pt>
                <c:pt idx="1">
                  <c:v>0.23162431760527649</c:v>
                </c:pt>
                <c:pt idx="2">
                  <c:v>0.23669788432267883</c:v>
                </c:pt>
                <c:pt idx="3">
                  <c:v>0.24177145104008116</c:v>
                </c:pt>
                <c:pt idx="4">
                  <c:v>0.24684501775748349</c:v>
                </c:pt>
                <c:pt idx="5">
                  <c:v>0.25191858447488585</c:v>
                </c:pt>
                <c:pt idx="6">
                  <c:v>0.26206571790969052</c:v>
                </c:pt>
                <c:pt idx="7">
                  <c:v>0.2649383815322171</c:v>
                </c:pt>
                <c:pt idx="8">
                  <c:v>0.2649383815322171</c:v>
                </c:pt>
                <c:pt idx="9">
                  <c:v>0.2649383815322171</c:v>
                </c:pt>
                <c:pt idx="10">
                  <c:v>0.2649383815322171</c:v>
                </c:pt>
                <c:pt idx="11">
                  <c:v>0.2649383815322171</c:v>
                </c:pt>
                <c:pt idx="12">
                  <c:v>0.2649383815322171</c:v>
                </c:pt>
                <c:pt idx="13">
                  <c:v>0.2649383815322171</c:v>
                </c:pt>
                <c:pt idx="14">
                  <c:v>0.2649383815322171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36-425D-AA63-D3550E44A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9177798"/>
        <c:axId val="63738739"/>
      </c:lineChart>
      <c:catAx>
        <c:axId val="79177798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738739"/>
        <c:crosses val="autoZero"/>
        <c:auto val="1"/>
        <c:lblAlgn val="ctr"/>
        <c:lblOffset val="100"/>
        <c:noMultiLvlLbl val="0"/>
      </c:catAx>
      <c:valAx>
        <c:axId val="637387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Reliability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1777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6</xdr:col>
      <xdr:colOff>1090560</xdr:colOff>
      <xdr:row>37</xdr:row>
      <xdr:rowOff>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38</xdr:row>
      <xdr:rowOff>0</xdr:rowOff>
    </xdr:from>
    <xdr:to>
      <xdr:col>6</xdr:col>
      <xdr:colOff>1090560</xdr:colOff>
      <xdr:row>54</xdr:row>
      <xdr:rowOff>10440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33</xdr:row>
      <xdr:rowOff>0</xdr:rowOff>
    </xdr:from>
    <xdr:to>
      <xdr:col>29</xdr:col>
      <xdr:colOff>136800</xdr:colOff>
      <xdr:row>48</xdr:row>
      <xdr:rowOff>19080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27</xdr:col>
      <xdr:colOff>253440</xdr:colOff>
      <xdr:row>17</xdr:row>
      <xdr:rowOff>152640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34</xdr:row>
      <xdr:rowOff>0</xdr:rowOff>
    </xdr:from>
    <xdr:to>
      <xdr:col>16</xdr:col>
      <xdr:colOff>373680</xdr:colOff>
      <xdr:row>49</xdr:row>
      <xdr:rowOff>20160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15</xdr:col>
      <xdr:colOff>77400</xdr:colOff>
      <xdr:row>19</xdr:row>
      <xdr:rowOff>190440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23</xdr:row>
      <xdr:rowOff>0</xdr:rowOff>
    </xdr:from>
    <xdr:to>
      <xdr:col>15</xdr:col>
      <xdr:colOff>77400</xdr:colOff>
      <xdr:row>39</xdr:row>
      <xdr:rowOff>190800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43</xdr:row>
      <xdr:rowOff>0</xdr:rowOff>
    </xdr:from>
    <xdr:to>
      <xdr:col>15</xdr:col>
      <xdr:colOff>77400</xdr:colOff>
      <xdr:row>59</xdr:row>
      <xdr:rowOff>190440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63</xdr:row>
      <xdr:rowOff>0</xdr:rowOff>
    </xdr:from>
    <xdr:to>
      <xdr:col>15</xdr:col>
      <xdr:colOff>77760</xdr:colOff>
      <xdr:row>79</xdr:row>
      <xdr:rowOff>190440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83</xdr:row>
      <xdr:rowOff>0</xdr:rowOff>
    </xdr:from>
    <xdr:to>
      <xdr:col>15</xdr:col>
      <xdr:colOff>77760</xdr:colOff>
      <xdr:row>99</xdr:row>
      <xdr:rowOff>190800</xdr:rowOff>
    </xdr:to>
    <xdr:graphicFrame macro="">
      <xdr:nvGraphicFramePr>
        <xdr:cNvPr id="9" name="Chart 5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103</xdr:row>
      <xdr:rowOff>0</xdr:rowOff>
    </xdr:from>
    <xdr:to>
      <xdr:col>15</xdr:col>
      <xdr:colOff>77760</xdr:colOff>
      <xdr:row>119</xdr:row>
      <xdr:rowOff>190440</xdr:rowOff>
    </xdr:to>
    <xdr:graphicFrame macro="">
      <xdr:nvGraphicFramePr>
        <xdr:cNvPr id="10" name="Chart 6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5EAA"/>
  </sheetPr>
  <dimension ref="B2:H21"/>
  <sheetViews>
    <sheetView showGridLines="0" zoomScaleNormal="100" workbookViewId="0">
      <selection activeCell="B3" sqref="B3:H3"/>
    </sheetView>
  </sheetViews>
  <sheetFormatPr defaultColWidth="8.6328125" defaultRowHeight="14.5" x14ac:dyDescent="0.35"/>
  <cols>
    <col min="1" max="1" width="3" customWidth="1"/>
    <col min="2" max="2" width="20.26953125" customWidth="1"/>
    <col min="3" max="3" width="20.36328125" customWidth="1"/>
    <col min="4" max="4" width="20.453125" customWidth="1"/>
    <col min="5" max="5" width="19.6328125" customWidth="1"/>
    <col min="6" max="8" width="16" customWidth="1"/>
    <col min="9" max="9" width="3" customWidth="1"/>
  </cols>
  <sheetData>
    <row r="2" spans="2:8" ht="45.75" customHeight="1" x14ac:dyDescent="0.35">
      <c r="B2" s="14" t="s">
        <v>0</v>
      </c>
      <c r="C2" s="14"/>
      <c r="D2" s="14"/>
      <c r="E2" s="14"/>
      <c r="F2" s="14"/>
      <c r="G2" s="14"/>
      <c r="H2" s="14"/>
    </row>
    <row r="3" spans="2:8" ht="19.5" customHeight="1" x14ac:dyDescent="0.35">
      <c r="B3" s="13" t="s">
        <v>323</v>
      </c>
      <c r="C3" s="13"/>
      <c r="D3" s="13"/>
      <c r="E3" s="13"/>
      <c r="F3" s="13"/>
      <c r="G3" s="13"/>
      <c r="H3" s="13"/>
    </row>
    <row r="5" spans="2:8" ht="15" customHeight="1" x14ac:dyDescent="0.35">
      <c r="B5" s="12" t="s">
        <v>1</v>
      </c>
      <c r="C5" s="12"/>
      <c r="D5" s="12"/>
      <c r="E5" s="16" t="str">
        <f>RainfallStation</f>
        <v>Karachi</v>
      </c>
      <c r="F5" s="15" t="s">
        <v>2</v>
      </c>
      <c r="G5" s="17">
        <f>TankCapacity_L</f>
        <v>5000</v>
      </c>
    </row>
    <row r="7" spans="2:8" ht="15.75" customHeight="1" x14ac:dyDescent="0.35">
      <c r="B7" s="18" t="s">
        <v>3</v>
      </c>
      <c r="C7" s="18" t="s">
        <v>4</v>
      </c>
      <c r="D7" s="18" t="s">
        <v>5</v>
      </c>
      <c r="E7" s="18" t="s">
        <v>6</v>
      </c>
    </row>
    <row r="8" spans="2:8" ht="30" customHeight="1" x14ac:dyDescent="0.35">
      <c r="B8" s="19">
        <f>('Monthly Summary'!C18)</f>
        <v>155</v>
      </c>
      <c r="C8" s="20">
        <f>('Monthly Summary'!D18)</f>
        <v>22746.306</v>
      </c>
      <c r="D8" s="20">
        <f>('Monthly Summary'!F18)</f>
        <v>23546.306000000004</v>
      </c>
      <c r="E8" s="20">
        <f>('Monthly Summary'!H18)</f>
        <v>75003.694000000003</v>
      </c>
    </row>
    <row r="9" spans="2:8" ht="12" customHeight="1" x14ac:dyDescent="0.35">
      <c r="C9" s="21" t="s">
        <v>7</v>
      </c>
      <c r="D9" s="21" t="s">
        <v>8</v>
      </c>
      <c r="E9" s="21" t="s">
        <v>9</v>
      </c>
    </row>
    <row r="11" spans="2:8" ht="15.75" customHeight="1" x14ac:dyDescent="0.35">
      <c r="B11" s="18" t="s">
        <v>10</v>
      </c>
      <c r="C11" s="18" t="s">
        <v>11</v>
      </c>
      <c r="D11" s="18" t="s">
        <v>12</v>
      </c>
      <c r="E11" s="18" t="s">
        <v>13</v>
      </c>
    </row>
    <row r="12" spans="2:8" ht="30" customHeight="1" x14ac:dyDescent="0.35">
      <c r="B12" s="20">
        <f>('Monthly Summary'!G18)</f>
        <v>0</v>
      </c>
      <c r="C12" s="22">
        <f>('Monthly Summary'!J18)</f>
        <v>0.13486003366487453</v>
      </c>
      <c r="D12" s="22">
        <f>('Monthly Summary'!K18)</f>
        <v>0.23892750887874178</v>
      </c>
      <c r="E12" s="22">
        <f>CollectionEff</f>
        <v>0.78327499999999994</v>
      </c>
    </row>
    <row r="13" spans="2:8" ht="12" customHeight="1" x14ac:dyDescent="0.35">
      <c r="B13" s="21" t="s">
        <v>14</v>
      </c>
      <c r="C13" s="21" t="s">
        <v>15</v>
      </c>
      <c r="D13" s="21" t="s">
        <v>16</v>
      </c>
      <c r="E13" s="21" t="s">
        <v>17</v>
      </c>
    </row>
    <row r="15" spans="2:8" ht="15.75" customHeight="1" x14ac:dyDescent="0.35">
      <c r="B15" s="23" t="s">
        <v>18</v>
      </c>
      <c r="C15" s="23" t="s">
        <v>19</v>
      </c>
      <c r="D15" s="23" t="s">
        <v>20</v>
      </c>
      <c r="E15" s="18" t="s">
        <v>21</v>
      </c>
    </row>
    <row r="16" spans="2:8" ht="30" customHeight="1" x14ac:dyDescent="0.35">
      <c r="B16" s="20">
        <f>Economics!C19</f>
        <v>28255.567200000005</v>
      </c>
      <c r="C16" s="24">
        <f>Economics!C20</f>
        <v>18457.285950000005</v>
      </c>
      <c r="D16" s="25">
        <f>Economics!C23</f>
        <v>7.0432890486805277</v>
      </c>
      <c r="E16" s="24">
        <f>Economics!C28</f>
        <v>7865.6568616187724</v>
      </c>
    </row>
    <row r="17" spans="2:8" ht="12" customHeight="1" x14ac:dyDescent="0.35">
      <c r="B17" s="21" t="s">
        <v>22</v>
      </c>
      <c r="C17" s="21" t="s">
        <v>23</v>
      </c>
      <c r="D17" s="21" t="s">
        <v>24</v>
      </c>
      <c r="E17" s="21" t="s">
        <v>25</v>
      </c>
    </row>
    <row r="20" spans="2:8" ht="21.75" customHeight="1" x14ac:dyDescent="0.35">
      <c r="B20" s="11" t="s">
        <v>326</v>
      </c>
      <c r="C20" s="11"/>
      <c r="D20" s="11"/>
      <c r="E20" s="11"/>
      <c r="F20" s="11"/>
      <c r="G20" s="11"/>
      <c r="H20" s="11"/>
    </row>
    <row r="21" spans="2:8" ht="0.75" customHeight="1" x14ac:dyDescent="0.35">
      <c r="B21" s="11"/>
      <c r="C21" s="11"/>
      <c r="D21" s="11"/>
      <c r="E21" s="11"/>
      <c r="F21" s="11"/>
      <c r="G21" s="11"/>
      <c r="H21" s="11"/>
    </row>
  </sheetData>
  <mergeCells count="5">
    <mergeCell ref="B2:H2"/>
    <mergeCell ref="B3:H3"/>
    <mergeCell ref="B5:D5"/>
    <mergeCell ref="B20:H20"/>
    <mergeCell ref="B21:H2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8792A"/>
  </sheetPr>
  <dimension ref="B2:I23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" sqref="B2:I2"/>
    </sheetView>
  </sheetViews>
  <sheetFormatPr defaultColWidth="8.6328125" defaultRowHeight="14.5" x14ac:dyDescent="0.35"/>
  <cols>
    <col min="1" max="1" width="3" customWidth="1"/>
    <col min="2" max="2" width="30" customWidth="1"/>
    <col min="3" max="3" width="16" customWidth="1"/>
    <col min="4" max="4" width="10" customWidth="1"/>
    <col min="5" max="5" width="34" customWidth="1"/>
    <col min="6" max="6" width="3" customWidth="1"/>
    <col min="7" max="7" width="30" customWidth="1"/>
    <col min="8" max="8" width="16" customWidth="1"/>
    <col min="9" max="9" width="10" customWidth="1"/>
  </cols>
  <sheetData>
    <row r="2" spans="2:9" ht="30" customHeight="1" x14ac:dyDescent="0.35">
      <c r="B2" s="11" t="s">
        <v>324</v>
      </c>
      <c r="C2" s="11"/>
      <c r="D2" s="11"/>
      <c r="E2" s="11"/>
      <c r="F2" s="11"/>
      <c r="G2" s="11"/>
      <c r="H2" s="11"/>
      <c r="I2" s="11"/>
    </row>
    <row r="3" spans="2:9" ht="15" customHeight="1" x14ac:dyDescent="0.35">
      <c r="B3" s="10" t="s">
        <v>26</v>
      </c>
      <c r="C3" s="10"/>
      <c r="D3" s="10"/>
      <c r="E3" s="10"/>
      <c r="F3" s="10"/>
      <c r="G3" s="10"/>
      <c r="H3" s="10"/>
      <c r="I3" s="10"/>
    </row>
    <row r="5" spans="2:9" ht="18" customHeight="1" x14ac:dyDescent="0.35">
      <c r="B5" s="9" t="s">
        <v>27</v>
      </c>
      <c r="C5" s="9"/>
      <c r="D5" s="9"/>
      <c r="E5" s="9"/>
      <c r="G5" s="9" t="s">
        <v>28</v>
      </c>
      <c r="H5" s="9"/>
      <c r="I5" s="9"/>
    </row>
    <row r="6" spans="2:9" ht="18" customHeight="1" x14ac:dyDescent="0.35">
      <c r="B6" s="26" t="s">
        <v>29</v>
      </c>
      <c r="C6" s="27">
        <v>220</v>
      </c>
      <c r="D6" s="28" t="s">
        <v>30</v>
      </c>
      <c r="E6" s="29" t="s">
        <v>31</v>
      </c>
      <c r="G6" s="26" t="s">
        <v>32</v>
      </c>
      <c r="H6" s="27">
        <v>6</v>
      </c>
      <c r="I6" s="30" t="s">
        <v>33</v>
      </c>
    </row>
    <row r="7" spans="2:9" ht="18" customHeight="1" x14ac:dyDescent="0.35">
      <c r="B7" s="26" t="s">
        <v>34</v>
      </c>
      <c r="C7" s="31" t="s">
        <v>35</v>
      </c>
      <c r="D7" s="28"/>
      <c r="E7" s="29" t="s">
        <v>36</v>
      </c>
      <c r="G7" s="26" t="s">
        <v>37</v>
      </c>
      <c r="H7" s="27">
        <v>45</v>
      </c>
      <c r="I7" s="30" t="s">
        <v>38</v>
      </c>
    </row>
    <row r="8" spans="2:9" ht="18" customHeight="1" x14ac:dyDescent="0.35">
      <c r="B8" s="26" t="s">
        <v>39</v>
      </c>
      <c r="C8" s="32">
        <v>0.85</v>
      </c>
      <c r="D8" s="28"/>
      <c r="E8" s="29" t="s">
        <v>327</v>
      </c>
    </row>
    <row r="9" spans="2:9" ht="18" customHeight="1" x14ac:dyDescent="0.35">
      <c r="B9" s="26" t="s">
        <v>40</v>
      </c>
      <c r="C9" s="33">
        <v>1</v>
      </c>
      <c r="D9" s="28" t="s">
        <v>41</v>
      </c>
      <c r="E9" s="29" t="s">
        <v>42</v>
      </c>
      <c r="G9" s="34" t="s">
        <v>43</v>
      </c>
      <c r="H9" s="35">
        <f>Occupants*DemandPerCapita_L</f>
        <v>270</v>
      </c>
    </row>
    <row r="10" spans="2:9" ht="18" customHeight="1" x14ac:dyDescent="0.35"/>
    <row r="11" spans="2:9" ht="18" customHeight="1" x14ac:dyDescent="0.35">
      <c r="B11" s="9" t="s">
        <v>44</v>
      </c>
      <c r="C11" s="9"/>
      <c r="D11" s="9"/>
      <c r="E11" s="9"/>
      <c r="G11" s="9" t="s">
        <v>45</v>
      </c>
      <c r="H11" s="9"/>
      <c r="I11" s="9"/>
    </row>
    <row r="12" spans="2:9" ht="18" customHeight="1" x14ac:dyDescent="0.35">
      <c r="B12" s="26" t="s">
        <v>46</v>
      </c>
      <c r="C12" s="36">
        <v>0.95</v>
      </c>
      <c r="D12" s="28"/>
      <c r="E12" s="29" t="s">
        <v>47</v>
      </c>
      <c r="G12" s="26" t="s">
        <v>48</v>
      </c>
      <c r="H12" s="31" t="s">
        <v>49</v>
      </c>
    </row>
    <row r="13" spans="2:9" ht="18" customHeight="1" x14ac:dyDescent="0.35">
      <c r="B13" s="26" t="s">
        <v>50</v>
      </c>
      <c r="C13" s="36">
        <v>0.97</v>
      </c>
      <c r="D13" s="28"/>
      <c r="E13" s="29" t="s">
        <v>51</v>
      </c>
      <c r="G13" s="8" t="s">
        <v>52</v>
      </c>
      <c r="H13" s="8"/>
      <c r="I13" s="8"/>
    </row>
    <row r="14" spans="2:9" ht="18" customHeight="1" x14ac:dyDescent="0.35">
      <c r="B14" s="26" t="s">
        <v>53</v>
      </c>
      <c r="C14" s="36">
        <v>0.8</v>
      </c>
      <c r="D14" s="28"/>
      <c r="E14" s="29" t="s">
        <v>54</v>
      </c>
    </row>
    <row r="15" spans="2:9" ht="18" customHeight="1" x14ac:dyDescent="0.35">
      <c r="G15" s="9" t="s">
        <v>55</v>
      </c>
      <c r="H15" s="9"/>
      <c r="I15" s="9"/>
    </row>
    <row r="16" spans="2:9" ht="18" customHeight="1" x14ac:dyDescent="0.35">
      <c r="B16" s="34" t="s">
        <v>56</v>
      </c>
      <c r="C16" s="37">
        <f>RunoffCoeff*FilterEff*ConveyEff</f>
        <v>0.78327499999999994</v>
      </c>
      <c r="E16" s="29" t="s">
        <v>57</v>
      </c>
      <c r="G16" s="26" t="s">
        <v>58</v>
      </c>
      <c r="H16" s="38">
        <v>1.2</v>
      </c>
      <c r="I16" s="28" t="s">
        <v>59</v>
      </c>
    </row>
    <row r="17" spans="2:9" ht="18" customHeight="1" x14ac:dyDescent="0.35">
      <c r="G17" s="26" t="s">
        <v>60</v>
      </c>
      <c r="H17" s="39">
        <v>85000</v>
      </c>
      <c r="I17" s="28" t="s">
        <v>61</v>
      </c>
    </row>
    <row r="18" spans="2:9" ht="18" customHeight="1" x14ac:dyDescent="0.35">
      <c r="B18" s="9" t="s">
        <v>62</v>
      </c>
      <c r="C18" s="9"/>
      <c r="D18" s="9"/>
      <c r="E18" s="9"/>
      <c r="G18" s="26" t="s">
        <v>63</v>
      </c>
      <c r="H18" s="39">
        <v>45000</v>
      </c>
      <c r="I18" s="28" t="s">
        <v>61</v>
      </c>
    </row>
    <row r="19" spans="2:9" ht="18" customHeight="1" x14ac:dyDescent="0.35">
      <c r="B19" s="26" t="s">
        <v>2</v>
      </c>
      <c r="C19" s="27">
        <v>5000</v>
      </c>
      <c r="D19" s="28" t="s">
        <v>64</v>
      </c>
      <c r="E19" s="29" t="s">
        <v>65</v>
      </c>
      <c r="G19" s="26" t="s">
        <v>66</v>
      </c>
      <c r="H19" s="39">
        <v>6000</v>
      </c>
      <c r="I19" s="28" t="s">
        <v>67</v>
      </c>
    </row>
    <row r="20" spans="2:9" ht="18" customHeight="1" x14ac:dyDescent="0.35">
      <c r="B20" s="26" t="s">
        <v>68</v>
      </c>
      <c r="C20" s="27">
        <v>1000</v>
      </c>
      <c r="D20" s="28" t="s">
        <v>64</v>
      </c>
      <c r="E20" s="29" t="s">
        <v>69</v>
      </c>
      <c r="G20" s="26" t="s">
        <v>70</v>
      </c>
      <c r="H20" s="39">
        <v>45</v>
      </c>
      <c r="I20" s="28" t="s">
        <v>71</v>
      </c>
    </row>
    <row r="21" spans="2:9" ht="18" customHeight="1" x14ac:dyDescent="0.35">
      <c r="B21" s="26" t="s">
        <v>72</v>
      </c>
      <c r="C21" s="27">
        <v>200</v>
      </c>
      <c r="D21" s="28" t="s">
        <v>64</v>
      </c>
      <c r="E21" s="29" t="s">
        <v>73</v>
      </c>
      <c r="G21" s="26" t="s">
        <v>74</v>
      </c>
      <c r="H21" s="36">
        <v>0.12</v>
      </c>
      <c r="I21" s="28"/>
    </row>
    <row r="22" spans="2:9" ht="18" customHeight="1" x14ac:dyDescent="0.35">
      <c r="G22" s="26" t="s">
        <v>75</v>
      </c>
      <c r="H22" s="27">
        <v>20</v>
      </c>
      <c r="I22" s="28" t="s">
        <v>76</v>
      </c>
    </row>
    <row r="23" spans="2:9" ht="18" customHeight="1" x14ac:dyDescent="0.35"/>
  </sheetData>
  <mergeCells count="9">
    <mergeCell ref="G13:I13"/>
    <mergeCell ref="G15:I15"/>
    <mergeCell ref="B18:E18"/>
    <mergeCell ref="B2:I2"/>
    <mergeCell ref="B3:I3"/>
    <mergeCell ref="B5:E5"/>
    <mergeCell ref="G5:I5"/>
    <mergeCell ref="B11:E11"/>
    <mergeCell ref="G11:I11"/>
  </mergeCells>
  <dataValidations count="2">
    <dataValidation type="list" sqref="C7" xr:uid="{00000000-0002-0000-0100-000000000000}">
      <formula1>"Corrugated Metal,Concrete Flat,Clay Tile,Green Roof,Asphalt Shingle"</formula1>
      <formula2>0</formula2>
    </dataValidation>
    <dataValidation type="list" sqref="H12" xr:uid="{00000000-0002-0000-0100-000001000000}">
      <formula1>"Karachi,Lahore,Islamabad,Peshawar,Quetta,Manual Entry"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D4A5C"/>
  </sheetPr>
  <dimension ref="B2:P400"/>
  <sheetViews>
    <sheetView showGridLines="0" zoomScaleNormal="100" workbookViewId="0">
      <pane xSplit="2" ySplit="4" topLeftCell="C18" activePane="bottomRight" state="frozen"/>
      <selection pane="topRight" activeCell="C1" sqref="C1"/>
      <selection pane="bottomLeft" activeCell="A5" sqref="A5"/>
      <selection pane="bottomRight" activeCell="C4" sqref="C4"/>
    </sheetView>
  </sheetViews>
  <sheetFormatPr defaultColWidth="8.6328125" defaultRowHeight="14.5" x14ac:dyDescent="0.35"/>
  <cols>
    <col min="1" max="1" width="3" customWidth="1"/>
    <col min="2" max="2" width="14" customWidth="1"/>
    <col min="3" max="7" width="11" customWidth="1"/>
    <col min="8" max="8" width="3" customWidth="1"/>
    <col min="9" max="9" width="6" customWidth="1"/>
    <col min="10" max="10" width="12" customWidth="1"/>
    <col min="11" max="11" width="8" customWidth="1"/>
    <col min="12" max="12" width="13" customWidth="1"/>
    <col min="13" max="13" width="10" customWidth="1"/>
    <col min="14" max="14" width="13" customWidth="1"/>
    <col min="15" max="15" width="9" customWidth="1"/>
    <col min="16" max="16" width="13" customWidth="1"/>
  </cols>
  <sheetData>
    <row r="2" spans="2:15" ht="27.75" customHeight="1" x14ac:dyDescent="0.35">
      <c r="B2" s="11" t="s">
        <v>325</v>
      </c>
      <c r="C2" s="11"/>
      <c r="D2" s="11"/>
      <c r="E2" s="11"/>
      <c r="F2" s="11"/>
      <c r="G2" s="11"/>
    </row>
    <row r="4" spans="2:15" ht="21.75" customHeight="1" x14ac:dyDescent="0.35">
      <c r="B4" s="40" t="s">
        <v>1</v>
      </c>
      <c r="C4" s="41" t="s">
        <v>77</v>
      </c>
      <c r="D4" s="41" t="s">
        <v>78</v>
      </c>
      <c r="E4" s="41" t="s">
        <v>79</v>
      </c>
      <c r="F4" s="41" t="s">
        <v>80</v>
      </c>
      <c r="G4" s="41" t="s">
        <v>81</v>
      </c>
      <c r="H4" s="41" t="s">
        <v>82</v>
      </c>
      <c r="I4" s="41" t="s">
        <v>83</v>
      </c>
      <c r="J4" s="41" t="s">
        <v>84</v>
      </c>
      <c r="K4" s="41" t="s">
        <v>85</v>
      </c>
      <c r="L4" s="41" t="s">
        <v>86</v>
      </c>
      <c r="M4" s="41" t="s">
        <v>87</v>
      </c>
      <c r="N4" s="41" t="s">
        <v>88</v>
      </c>
      <c r="O4" s="40" t="s">
        <v>89</v>
      </c>
    </row>
    <row r="5" spans="2:15" ht="15" customHeight="1" x14ac:dyDescent="0.35">
      <c r="B5" s="26" t="s">
        <v>49</v>
      </c>
      <c r="C5" s="42">
        <v>3</v>
      </c>
      <c r="D5" s="42">
        <v>2</v>
      </c>
      <c r="E5" s="42">
        <v>2</v>
      </c>
      <c r="F5" s="42">
        <v>1</v>
      </c>
      <c r="G5" s="42">
        <v>1</v>
      </c>
      <c r="H5" s="42">
        <v>3</v>
      </c>
      <c r="I5" s="42">
        <v>65</v>
      </c>
      <c r="J5" s="42">
        <v>57</v>
      </c>
      <c r="K5" s="42">
        <v>15</v>
      </c>
      <c r="L5" s="42">
        <v>2</v>
      </c>
      <c r="M5" s="42">
        <v>2</v>
      </c>
      <c r="N5" s="42">
        <v>4</v>
      </c>
      <c r="O5" s="43">
        <f t="shared" ref="O5:O10" si="0">SUM(C5:N5)</f>
        <v>157</v>
      </c>
    </row>
    <row r="6" spans="2:15" ht="15" customHeight="1" x14ac:dyDescent="0.35">
      <c r="B6" s="26" t="s">
        <v>90</v>
      </c>
      <c r="C6" s="42">
        <v>22</v>
      </c>
      <c r="D6" s="42">
        <v>28</v>
      </c>
      <c r="E6" s="42">
        <v>40</v>
      </c>
      <c r="F6" s="42">
        <v>20</v>
      </c>
      <c r="G6" s="42">
        <v>15</v>
      </c>
      <c r="H6" s="42">
        <v>55</v>
      </c>
      <c r="I6" s="42">
        <v>145</v>
      </c>
      <c r="J6" s="42">
        <v>125</v>
      </c>
      <c r="K6" s="42">
        <v>45</v>
      </c>
      <c r="L6" s="42">
        <v>8</v>
      </c>
      <c r="M6" s="42">
        <v>5</v>
      </c>
      <c r="N6" s="42">
        <v>12</v>
      </c>
      <c r="O6" s="43">
        <f t="shared" si="0"/>
        <v>520</v>
      </c>
    </row>
    <row r="7" spans="2:15" ht="15" customHeight="1" x14ac:dyDescent="0.35">
      <c r="B7" s="26" t="s">
        <v>91</v>
      </c>
      <c r="C7" s="42">
        <v>55</v>
      </c>
      <c r="D7" s="42">
        <v>65</v>
      </c>
      <c r="E7" s="42">
        <v>85</v>
      </c>
      <c r="F7" s="42">
        <v>62</v>
      </c>
      <c r="G7" s="42">
        <v>38</v>
      </c>
      <c r="H7" s="42">
        <v>55</v>
      </c>
      <c r="I7" s="42">
        <v>235</v>
      </c>
      <c r="J7" s="42">
        <v>210</v>
      </c>
      <c r="K7" s="42">
        <v>75</v>
      </c>
      <c r="L7" s="42">
        <v>20</v>
      </c>
      <c r="M7" s="42">
        <v>12</v>
      </c>
      <c r="N7" s="42">
        <v>35</v>
      </c>
      <c r="O7" s="43">
        <f t="shared" si="0"/>
        <v>947</v>
      </c>
    </row>
    <row r="8" spans="2:15" ht="15" customHeight="1" x14ac:dyDescent="0.35">
      <c r="B8" s="26" t="s">
        <v>92</v>
      </c>
      <c r="C8" s="42">
        <v>35</v>
      </c>
      <c r="D8" s="42">
        <v>42</v>
      </c>
      <c r="E8" s="42">
        <v>68</v>
      </c>
      <c r="F8" s="42">
        <v>45</v>
      </c>
      <c r="G8" s="42">
        <v>18</v>
      </c>
      <c r="H8" s="42">
        <v>12</v>
      </c>
      <c r="I8" s="42">
        <v>45</v>
      </c>
      <c r="J8" s="42">
        <v>40</v>
      </c>
      <c r="K8" s="42">
        <v>15</v>
      </c>
      <c r="L8" s="42">
        <v>10</v>
      </c>
      <c r="M8" s="42">
        <v>8</v>
      </c>
      <c r="N8" s="42">
        <v>20</v>
      </c>
      <c r="O8" s="43">
        <f t="shared" si="0"/>
        <v>358</v>
      </c>
    </row>
    <row r="9" spans="2:15" ht="15" customHeight="1" x14ac:dyDescent="0.35">
      <c r="B9" s="26" t="s">
        <v>93</v>
      </c>
      <c r="C9" s="42">
        <v>35</v>
      </c>
      <c r="D9" s="42">
        <v>30</v>
      </c>
      <c r="E9" s="42">
        <v>42</v>
      </c>
      <c r="F9" s="42">
        <v>15</v>
      </c>
      <c r="G9" s="42">
        <v>3</v>
      </c>
      <c r="H9" s="42">
        <v>1</v>
      </c>
      <c r="I9" s="42">
        <v>8</v>
      </c>
      <c r="J9" s="42">
        <v>5</v>
      </c>
      <c r="K9" s="42">
        <v>2</v>
      </c>
      <c r="L9" s="42">
        <v>3</v>
      </c>
      <c r="M9" s="42">
        <v>8</v>
      </c>
      <c r="N9" s="42">
        <v>22</v>
      </c>
      <c r="O9" s="43">
        <f t="shared" si="0"/>
        <v>174</v>
      </c>
    </row>
    <row r="10" spans="2:15" ht="15" customHeight="1" x14ac:dyDescent="0.35">
      <c r="B10" s="34" t="s">
        <v>94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3">
        <f t="shared" si="0"/>
        <v>0</v>
      </c>
    </row>
    <row r="11" spans="2:15" ht="15" customHeight="1" x14ac:dyDescent="0.35">
      <c r="B11" s="8" t="s">
        <v>95</v>
      </c>
      <c r="C11" s="8"/>
      <c r="D11" s="8"/>
      <c r="E11" s="8"/>
      <c r="F11" s="8"/>
      <c r="G11" s="8"/>
    </row>
    <row r="13" spans="2:15" ht="21.75" customHeight="1" x14ac:dyDescent="0.35">
      <c r="B13" s="11" t="s">
        <v>96</v>
      </c>
      <c r="C13" s="11"/>
      <c r="D13" s="11"/>
      <c r="E13" s="11"/>
      <c r="F13" s="11"/>
      <c r="G13" s="11"/>
    </row>
    <row r="14" spans="2:15" ht="21.75" customHeight="1" x14ac:dyDescent="0.35">
      <c r="B14" s="45" t="s">
        <v>97</v>
      </c>
      <c r="C14" s="45" t="s">
        <v>98</v>
      </c>
      <c r="D14" s="45" t="s">
        <v>99</v>
      </c>
      <c r="E14" s="45" t="s">
        <v>100</v>
      </c>
    </row>
    <row r="15" spans="2:15" ht="15" customHeight="1" x14ac:dyDescent="0.35">
      <c r="B15" s="46" t="s">
        <v>77</v>
      </c>
      <c r="C15" s="47">
        <f>INDEX($C$5:$N$10,MATCH(Inputs!$H$12,$B$5:$B$10,0),1)</f>
        <v>3</v>
      </c>
      <c r="D15" s="42">
        <v>1</v>
      </c>
      <c r="E15" s="42">
        <v>31</v>
      </c>
    </row>
    <row r="16" spans="2:15" ht="15" customHeight="1" x14ac:dyDescent="0.35">
      <c r="B16" s="46" t="s">
        <v>78</v>
      </c>
      <c r="C16" s="47">
        <f>INDEX($C$5:$N$10,MATCH(Inputs!$H$12,$B$5:$B$10,0),2)</f>
        <v>2</v>
      </c>
      <c r="D16" s="42">
        <v>1</v>
      </c>
      <c r="E16" s="42">
        <v>28</v>
      </c>
    </row>
    <row r="17" spans="2:16" ht="15" customHeight="1" x14ac:dyDescent="0.35">
      <c r="B17" s="46" t="s">
        <v>79</v>
      </c>
      <c r="C17" s="47">
        <f>INDEX($C$5:$N$10,MATCH(Inputs!$H$12,$B$5:$B$10,0),3)</f>
        <v>2</v>
      </c>
      <c r="D17" s="42">
        <v>2</v>
      </c>
      <c r="E17" s="42">
        <v>31</v>
      </c>
    </row>
    <row r="18" spans="2:16" ht="15" customHeight="1" x14ac:dyDescent="0.35">
      <c r="B18" s="46" t="s">
        <v>80</v>
      </c>
      <c r="C18" s="47">
        <f>INDEX($C$5:$N$10,MATCH(Inputs!$H$12,$B$5:$B$10,0),4)</f>
        <v>1</v>
      </c>
      <c r="D18" s="42">
        <v>0</v>
      </c>
      <c r="E18" s="42">
        <v>30</v>
      </c>
    </row>
    <row r="19" spans="2:16" ht="15" customHeight="1" x14ac:dyDescent="0.35">
      <c r="B19" s="46" t="s">
        <v>81</v>
      </c>
      <c r="C19" s="47">
        <f>INDEX($C$5:$N$10,MATCH(Inputs!$H$12,$B$5:$B$10,0),5)</f>
        <v>1</v>
      </c>
      <c r="D19" s="42">
        <v>0</v>
      </c>
      <c r="E19" s="42">
        <v>31</v>
      </c>
    </row>
    <row r="20" spans="2:16" ht="15" customHeight="1" x14ac:dyDescent="0.35">
      <c r="B20" s="46" t="s">
        <v>82</v>
      </c>
      <c r="C20" s="47">
        <f>INDEX($C$5:$N$10,MATCH(Inputs!$H$12,$B$5:$B$10,0),6)</f>
        <v>3</v>
      </c>
      <c r="D20" s="42">
        <v>2</v>
      </c>
      <c r="E20" s="42">
        <v>30</v>
      </c>
    </row>
    <row r="21" spans="2:16" ht="15" customHeight="1" x14ac:dyDescent="0.35">
      <c r="B21" s="46" t="s">
        <v>83</v>
      </c>
      <c r="C21" s="47">
        <f>INDEX($C$5:$N$10,MATCH(Inputs!$H$12,$B$5:$B$10,0),7)</f>
        <v>65</v>
      </c>
      <c r="D21" s="42">
        <v>6</v>
      </c>
      <c r="E21" s="42">
        <v>31</v>
      </c>
    </row>
    <row r="22" spans="2:16" ht="15" customHeight="1" x14ac:dyDescent="0.35">
      <c r="B22" s="46" t="s">
        <v>84</v>
      </c>
      <c r="C22" s="47">
        <f>INDEX($C$5:$N$10,MATCH(Inputs!$H$12,$B$5:$B$10,0),8)</f>
        <v>57</v>
      </c>
      <c r="D22" s="42">
        <v>5</v>
      </c>
      <c r="E22" s="42">
        <v>31</v>
      </c>
    </row>
    <row r="23" spans="2:16" ht="15" customHeight="1" x14ac:dyDescent="0.35">
      <c r="B23" s="46" t="s">
        <v>85</v>
      </c>
      <c r="C23" s="47">
        <f>INDEX($C$5:$N$10,MATCH(Inputs!$H$12,$B$5:$B$10,0),9)</f>
        <v>15</v>
      </c>
      <c r="D23" s="42">
        <v>3</v>
      </c>
      <c r="E23" s="42">
        <v>30</v>
      </c>
    </row>
    <row r="24" spans="2:16" ht="15" customHeight="1" x14ac:dyDescent="0.35">
      <c r="B24" s="46" t="s">
        <v>86</v>
      </c>
      <c r="C24" s="47">
        <f>INDEX($C$5:$N$10,MATCH(Inputs!$H$12,$B$5:$B$10,0),10)</f>
        <v>2</v>
      </c>
      <c r="D24" s="42">
        <v>1</v>
      </c>
      <c r="E24" s="42">
        <v>31</v>
      </c>
    </row>
    <row r="25" spans="2:16" ht="15" customHeight="1" x14ac:dyDescent="0.35">
      <c r="B25" s="46" t="s">
        <v>87</v>
      </c>
      <c r="C25" s="47">
        <f>INDEX($C$5:$N$10,MATCH(Inputs!$H$12,$B$5:$B$10,0),11)</f>
        <v>2</v>
      </c>
      <c r="D25" s="42">
        <v>1</v>
      </c>
      <c r="E25" s="42">
        <v>30</v>
      </c>
    </row>
    <row r="26" spans="2:16" ht="15" customHeight="1" x14ac:dyDescent="0.35">
      <c r="B26" s="46" t="s">
        <v>88</v>
      </c>
      <c r="C26" s="47">
        <f>INDEX($C$5:$N$10,MATCH(Inputs!$H$12,$B$5:$B$10,0),12)</f>
        <v>4</v>
      </c>
      <c r="D26" s="42">
        <v>1</v>
      </c>
      <c r="E26" s="42">
        <v>31</v>
      </c>
    </row>
    <row r="27" spans="2:16" ht="15" customHeight="1" x14ac:dyDescent="0.35">
      <c r="B27" s="48" t="s">
        <v>101</v>
      </c>
      <c r="C27" s="49">
        <f>SUM(C15:C26)</f>
        <v>157</v>
      </c>
      <c r="D27" s="50"/>
      <c r="E27" s="50"/>
    </row>
    <row r="30" spans="2:16" ht="21.75" customHeight="1" x14ac:dyDescent="0.35">
      <c r="I30" s="11" t="s">
        <v>102</v>
      </c>
      <c r="J30" s="11"/>
      <c r="K30" s="11"/>
      <c r="L30" s="11"/>
      <c r="M30" s="11"/>
      <c r="N30" s="11"/>
      <c r="O30" s="11"/>
      <c r="P30" s="11"/>
    </row>
    <row r="31" spans="2:16" ht="30" customHeight="1" x14ac:dyDescent="0.35">
      <c r="I31" s="51" t="s">
        <v>103</v>
      </c>
      <c r="J31" s="51" t="s">
        <v>104</v>
      </c>
      <c r="K31" s="51" t="s">
        <v>105</v>
      </c>
      <c r="L31" s="51" t="s">
        <v>106</v>
      </c>
      <c r="M31" s="51" t="s">
        <v>99</v>
      </c>
      <c r="N31" s="51" t="s">
        <v>107</v>
      </c>
      <c r="O31" s="51" t="s">
        <v>108</v>
      </c>
      <c r="P31" s="51" t="s">
        <v>109</v>
      </c>
    </row>
    <row r="32" spans="2:16" ht="15" customHeight="1" x14ac:dyDescent="0.35">
      <c r="I32" s="52">
        <v>1</v>
      </c>
      <c r="J32" s="53">
        <v>46023</v>
      </c>
      <c r="K32" s="54">
        <f t="shared" ref="K32:K95" si="1">MONTH(J32)</f>
        <v>1</v>
      </c>
      <c r="L32" s="55">
        <f t="shared" ref="L32:L95" si="2">INDEX($C$15:$C$26,K32)</f>
        <v>3</v>
      </c>
      <c r="M32" s="56">
        <f t="shared" ref="M32:M95" si="3">INDEX($D$15:$D$26,K32)</f>
        <v>1</v>
      </c>
      <c r="N32" s="54">
        <f t="shared" ref="N32:N95" si="4">DAY(J32)</f>
        <v>1</v>
      </c>
      <c r="O32" s="52">
        <v>0</v>
      </c>
      <c r="P32" s="57">
        <f t="shared" ref="P32:P95" si="5">IF(O32=1,IF(M32&gt;0,L32/M32,0),0)</f>
        <v>0</v>
      </c>
    </row>
    <row r="33" spans="9:16" ht="15" customHeight="1" x14ac:dyDescent="0.35">
      <c r="I33" s="52">
        <v>2</v>
      </c>
      <c r="J33" s="53">
        <v>46024</v>
      </c>
      <c r="K33" s="54">
        <f t="shared" si="1"/>
        <v>1</v>
      </c>
      <c r="L33" s="55">
        <f t="shared" si="2"/>
        <v>3</v>
      </c>
      <c r="M33" s="56">
        <f t="shared" si="3"/>
        <v>1</v>
      </c>
      <c r="N33" s="54">
        <f t="shared" si="4"/>
        <v>2</v>
      </c>
      <c r="O33" s="52">
        <v>0</v>
      </c>
      <c r="P33" s="57">
        <f t="shared" si="5"/>
        <v>0</v>
      </c>
    </row>
    <row r="34" spans="9:16" ht="15" customHeight="1" x14ac:dyDescent="0.35">
      <c r="I34" s="52">
        <v>3</v>
      </c>
      <c r="J34" s="53">
        <v>46025</v>
      </c>
      <c r="K34" s="54">
        <f t="shared" si="1"/>
        <v>1</v>
      </c>
      <c r="L34" s="55">
        <f t="shared" si="2"/>
        <v>3</v>
      </c>
      <c r="M34" s="56">
        <f t="shared" si="3"/>
        <v>1</v>
      </c>
      <c r="N34" s="54">
        <f t="shared" si="4"/>
        <v>3</v>
      </c>
      <c r="O34" s="52">
        <v>0</v>
      </c>
      <c r="P34" s="57">
        <f t="shared" si="5"/>
        <v>0</v>
      </c>
    </row>
    <row r="35" spans="9:16" ht="15" customHeight="1" x14ac:dyDescent="0.35">
      <c r="I35" s="52">
        <v>4</v>
      </c>
      <c r="J35" s="53">
        <v>46026</v>
      </c>
      <c r="K35" s="54">
        <f t="shared" si="1"/>
        <v>1</v>
      </c>
      <c r="L35" s="55">
        <f t="shared" si="2"/>
        <v>3</v>
      </c>
      <c r="M35" s="56">
        <f t="shared" si="3"/>
        <v>1</v>
      </c>
      <c r="N35" s="54">
        <f t="shared" si="4"/>
        <v>4</v>
      </c>
      <c r="O35" s="52">
        <v>0</v>
      </c>
      <c r="P35" s="57">
        <f t="shared" si="5"/>
        <v>0</v>
      </c>
    </row>
    <row r="36" spans="9:16" ht="15" customHeight="1" x14ac:dyDescent="0.35">
      <c r="I36" s="52">
        <v>5</v>
      </c>
      <c r="J36" s="53">
        <v>46027</v>
      </c>
      <c r="K36" s="54">
        <f t="shared" si="1"/>
        <v>1</v>
      </c>
      <c r="L36" s="55">
        <f t="shared" si="2"/>
        <v>3</v>
      </c>
      <c r="M36" s="56">
        <f t="shared" si="3"/>
        <v>1</v>
      </c>
      <c r="N36" s="54">
        <f t="shared" si="4"/>
        <v>5</v>
      </c>
      <c r="O36" s="52">
        <v>0</v>
      </c>
      <c r="P36" s="57">
        <f t="shared" si="5"/>
        <v>0</v>
      </c>
    </row>
    <row r="37" spans="9:16" ht="15" customHeight="1" x14ac:dyDescent="0.35">
      <c r="I37" s="52">
        <v>6</v>
      </c>
      <c r="J37" s="53">
        <v>46028</v>
      </c>
      <c r="K37" s="54">
        <f t="shared" si="1"/>
        <v>1</v>
      </c>
      <c r="L37" s="55">
        <f t="shared" si="2"/>
        <v>3</v>
      </c>
      <c r="M37" s="56">
        <f t="shared" si="3"/>
        <v>1</v>
      </c>
      <c r="N37" s="54">
        <f t="shared" si="4"/>
        <v>6</v>
      </c>
      <c r="O37" s="52">
        <v>0</v>
      </c>
      <c r="P37" s="57">
        <f t="shared" si="5"/>
        <v>0</v>
      </c>
    </row>
    <row r="38" spans="9:16" ht="15" customHeight="1" x14ac:dyDescent="0.35">
      <c r="I38" s="52">
        <v>7</v>
      </c>
      <c r="J38" s="53">
        <v>46029</v>
      </c>
      <c r="K38" s="54">
        <f t="shared" si="1"/>
        <v>1</v>
      </c>
      <c r="L38" s="55">
        <f t="shared" si="2"/>
        <v>3</v>
      </c>
      <c r="M38" s="56">
        <f t="shared" si="3"/>
        <v>1</v>
      </c>
      <c r="N38" s="54">
        <f t="shared" si="4"/>
        <v>7</v>
      </c>
      <c r="O38" s="52">
        <v>0</v>
      </c>
      <c r="P38" s="57">
        <f t="shared" si="5"/>
        <v>0</v>
      </c>
    </row>
    <row r="39" spans="9:16" ht="15" customHeight="1" x14ac:dyDescent="0.35">
      <c r="I39" s="52">
        <v>8</v>
      </c>
      <c r="J39" s="53">
        <v>46030</v>
      </c>
      <c r="K39" s="54">
        <f t="shared" si="1"/>
        <v>1</v>
      </c>
      <c r="L39" s="55">
        <f t="shared" si="2"/>
        <v>3</v>
      </c>
      <c r="M39" s="56">
        <f t="shared" si="3"/>
        <v>1</v>
      </c>
      <c r="N39" s="54">
        <f t="shared" si="4"/>
        <v>8</v>
      </c>
      <c r="O39" s="52">
        <v>0</v>
      </c>
      <c r="P39" s="57">
        <f t="shared" si="5"/>
        <v>0</v>
      </c>
    </row>
    <row r="40" spans="9:16" ht="15" customHeight="1" x14ac:dyDescent="0.35">
      <c r="I40" s="52">
        <v>9</v>
      </c>
      <c r="J40" s="53">
        <v>46031</v>
      </c>
      <c r="K40" s="54">
        <f t="shared" si="1"/>
        <v>1</v>
      </c>
      <c r="L40" s="55">
        <f t="shared" si="2"/>
        <v>3</v>
      </c>
      <c r="M40" s="56">
        <f t="shared" si="3"/>
        <v>1</v>
      </c>
      <c r="N40" s="54">
        <f t="shared" si="4"/>
        <v>9</v>
      </c>
      <c r="O40" s="52">
        <v>0</v>
      </c>
      <c r="P40" s="57">
        <f t="shared" si="5"/>
        <v>0</v>
      </c>
    </row>
    <row r="41" spans="9:16" ht="15" customHeight="1" x14ac:dyDescent="0.35">
      <c r="I41" s="52">
        <v>10</v>
      </c>
      <c r="J41" s="53">
        <v>46032</v>
      </c>
      <c r="K41" s="54">
        <f t="shared" si="1"/>
        <v>1</v>
      </c>
      <c r="L41" s="55">
        <f t="shared" si="2"/>
        <v>3</v>
      </c>
      <c r="M41" s="56">
        <f t="shared" si="3"/>
        <v>1</v>
      </c>
      <c r="N41" s="54">
        <f t="shared" si="4"/>
        <v>10</v>
      </c>
      <c r="O41" s="52">
        <v>0</v>
      </c>
      <c r="P41" s="57">
        <f t="shared" si="5"/>
        <v>0</v>
      </c>
    </row>
    <row r="42" spans="9:16" ht="15" customHeight="1" x14ac:dyDescent="0.35">
      <c r="I42" s="52">
        <v>11</v>
      </c>
      <c r="J42" s="53">
        <v>46033</v>
      </c>
      <c r="K42" s="54">
        <f t="shared" si="1"/>
        <v>1</v>
      </c>
      <c r="L42" s="55">
        <f t="shared" si="2"/>
        <v>3</v>
      </c>
      <c r="M42" s="56">
        <f t="shared" si="3"/>
        <v>1</v>
      </c>
      <c r="N42" s="54">
        <f t="shared" si="4"/>
        <v>11</v>
      </c>
      <c r="O42" s="52">
        <v>0</v>
      </c>
      <c r="P42" s="57">
        <f t="shared" si="5"/>
        <v>0</v>
      </c>
    </row>
    <row r="43" spans="9:16" ht="15" customHeight="1" x14ac:dyDescent="0.35">
      <c r="I43" s="52">
        <v>12</v>
      </c>
      <c r="J43" s="53">
        <v>46034</v>
      </c>
      <c r="K43" s="54">
        <f t="shared" si="1"/>
        <v>1</v>
      </c>
      <c r="L43" s="55">
        <f t="shared" si="2"/>
        <v>3</v>
      </c>
      <c r="M43" s="56">
        <f t="shared" si="3"/>
        <v>1</v>
      </c>
      <c r="N43" s="54">
        <f t="shared" si="4"/>
        <v>12</v>
      </c>
      <c r="O43" s="52">
        <v>0</v>
      </c>
      <c r="P43" s="57">
        <f t="shared" si="5"/>
        <v>0</v>
      </c>
    </row>
    <row r="44" spans="9:16" ht="15" customHeight="1" x14ac:dyDescent="0.35">
      <c r="I44" s="52">
        <v>13</v>
      </c>
      <c r="J44" s="53">
        <v>46035</v>
      </c>
      <c r="K44" s="54">
        <f t="shared" si="1"/>
        <v>1</v>
      </c>
      <c r="L44" s="55">
        <f t="shared" si="2"/>
        <v>3</v>
      </c>
      <c r="M44" s="56">
        <f t="shared" si="3"/>
        <v>1</v>
      </c>
      <c r="N44" s="54">
        <f t="shared" si="4"/>
        <v>13</v>
      </c>
      <c r="O44" s="52">
        <v>0</v>
      </c>
      <c r="P44" s="57">
        <f t="shared" si="5"/>
        <v>0</v>
      </c>
    </row>
    <row r="45" spans="9:16" ht="15" customHeight="1" x14ac:dyDescent="0.35">
      <c r="I45" s="52">
        <v>14</v>
      </c>
      <c r="J45" s="53">
        <v>46036</v>
      </c>
      <c r="K45" s="54">
        <f t="shared" si="1"/>
        <v>1</v>
      </c>
      <c r="L45" s="55">
        <f t="shared" si="2"/>
        <v>3</v>
      </c>
      <c r="M45" s="56">
        <f t="shared" si="3"/>
        <v>1</v>
      </c>
      <c r="N45" s="54">
        <f t="shared" si="4"/>
        <v>14</v>
      </c>
      <c r="O45" s="52">
        <v>0</v>
      </c>
      <c r="P45" s="57">
        <f t="shared" si="5"/>
        <v>0</v>
      </c>
    </row>
    <row r="46" spans="9:16" ht="15" customHeight="1" x14ac:dyDescent="0.35">
      <c r="I46" s="52">
        <v>15</v>
      </c>
      <c r="J46" s="53">
        <v>46037</v>
      </c>
      <c r="K46" s="54">
        <f t="shared" si="1"/>
        <v>1</v>
      </c>
      <c r="L46" s="55">
        <f t="shared" si="2"/>
        <v>3</v>
      </c>
      <c r="M46" s="56">
        <f t="shared" si="3"/>
        <v>1</v>
      </c>
      <c r="N46" s="54">
        <f t="shared" si="4"/>
        <v>15</v>
      </c>
      <c r="O46" s="52">
        <v>0</v>
      </c>
      <c r="P46" s="57">
        <f t="shared" si="5"/>
        <v>0</v>
      </c>
    </row>
    <row r="47" spans="9:16" ht="15" customHeight="1" x14ac:dyDescent="0.35">
      <c r="I47" s="52">
        <v>16</v>
      </c>
      <c r="J47" s="53">
        <v>46038</v>
      </c>
      <c r="K47" s="54">
        <f t="shared" si="1"/>
        <v>1</v>
      </c>
      <c r="L47" s="55">
        <f t="shared" si="2"/>
        <v>3</v>
      </c>
      <c r="M47" s="56">
        <f t="shared" si="3"/>
        <v>1</v>
      </c>
      <c r="N47" s="54">
        <f t="shared" si="4"/>
        <v>16</v>
      </c>
      <c r="O47" s="52">
        <v>1</v>
      </c>
      <c r="P47" s="58">
        <f t="shared" si="5"/>
        <v>3</v>
      </c>
    </row>
    <row r="48" spans="9:16" ht="15" customHeight="1" x14ac:dyDescent="0.35">
      <c r="I48" s="52">
        <v>17</v>
      </c>
      <c r="J48" s="53">
        <v>46039</v>
      </c>
      <c r="K48" s="54">
        <f t="shared" si="1"/>
        <v>1</v>
      </c>
      <c r="L48" s="55">
        <f t="shared" si="2"/>
        <v>3</v>
      </c>
      <c r="M48" s="56">
        <f t="shared" si="3"/>
        <v>1</v>
      </c>
      <c r="N48" s="54">
        <f t="shared" si="4"/>
        <v>17</v>
      </c>
      <c r="O48" s="52">
        <v>0</v>
      </c>
      <c r="P48" s="57">
        <f t="shared" si="5"/>
        <v>0</v>
      </c>
    </row>
    <row r="49" spans="9:16" ht="15" customHeight="1" x14ac:dyDescent="0.35">
      <c r="I49" s="52">
        <v>18</v>
      </c>
      <c r="J49" s="53">
        <v>46040</v>
      </c>
      <c r="K49" s="54">
        <f t="shared" si="1"/>
        <v>1</v>
      </c>
      <c r="L49" s="55">
        <f t="shared" si="2"/>
        <v>3</v>
      </c>
      <c r="M49" s="56">
        <f t="shared" si="3"/>
        <v>1</v>
      </c>
      <c r="N49" s="54">
        <f t="shared" si="4"/>
        <v>18</v>
      </c>
      <c r="O49" s="52">
        <v>0</v>
      </c>
      <c r="P49" s="57">
        <f t="shared" si="5"/>
        <v>0</v>
      </c>
    </row>
    <row r="50" spans="9:16" ht="15" customHeight="1" x14ac:dyDescent="0.35">
      <c r="I50" s="52">
        <v>19</v>
      </c>
      <c r="J50" s="53">
        <v>46041</v>
      </c>
      <c r="K50" s="54">
        <f t="shared" si="1"/>
        <v>1</v>
      </c>
      <c r="L50" s="55">
        <f t="shared" si="2"/>
        <v>3</v>
      </c>
      <c r="M50" s="56">
        <f t="shared" si="3"/>
        <v>1</v>
      </c>
      <c r="N50" s="54">
        <f t="shared" si="4"/>
        <v>19</v>
      </c>
      <c r="O50" s="52">
        <v>0</v>
      </c>
      <c r="P50" s="57">
        <f t="shared" si="5"/>
        <v>0</v>
      </c>
    </row>
    <row r="51" spans="9:16" ht="15" customHeight="1" x14ac:dyDescent="0.35">
      <c r="I51" s="52">
        <v>20</v>
      </c>
      <c r="J51" s="53">
        <v>46042</v>
      </c>
      <c r="K51" s="54">
        <f t="shared" si="1"/>
        <v>1</v>
      </c>
      <c r="L51" s="55">
        <f t="shared" si="2"/>
        <v>3</v>
      </c>
      <c r="M51" s="56">
        <f t="shared" si="3"/>
        <v>1</v>
      </c>
      <c r="N51" s="54">
        <f t="shared" si="4"/>
        <v>20</v>
      </c>
      <c r="O51" s="52">
        <v>0</v>
      </c>
      <c r="P51" s="57">
        <f t="shared" si="5"/>
        <v>0</v>
      </c>
    </row>
    <row r="52" spans="9:16" ht="15" customHeight="1" x14ac:dyDescent="0.35">
      <c r="I52" s="52">
        <v>21</v>
      </c>
      <c r="J52" s="53">
        <v>46043</v>
      </c>
      <c r="K52" s="54">
        <f t="shared" si="1"/>
        <v>1</v>
      </c>
      <c r="L52" s="55">
        <f t="shared" si="2"/>
        <v>3</v>
      </c>
      <c r="M52" s="56">
        <f t="shared" si="3"/>
        <v>1</v>
      </c>
      <c r="N52" s="54">
        <f t="shared" si="4"/>
        <v>21</v>
      </c>
      <c r="O52" s="52">
        <v>0</v>
      </c>
      <c r="P52" s="57">
        <f t="shared" si="5"/>
        <v>0</v>
      </c>
    </row>
    <row r="53" spans="9:16" ht="15" customHeight="1" x14ac:dyDescent="0.35">
      <c r="I53" s="52">
        <v>22</v>
      </c>
      <c r="J53" s="53">
        <v>46044</v>
      </c>
      <c r="K53" s="54">
        <f t="shared" si="1"/>
        <v>1</v>
      </c>
      <c r="L53" s="55">
        <f t="shared" si="2"/>
        <v>3</v>
      </c>
      <c r="M53" s="56">
        <f t="shared" si="3"/>
        <v>1</v>
      </c>
      <c r="N53" s="54">
        <f t="shared" si="4"/>
        <v>22</v>
      </c>
      <c r="O53" s="52">
        <v>0</v>
      </c>
      <c r="P53" s="57">
        <f t="shared" si="5"/>
        <v>0</v>
      </c>
    </row>
    <row r="54" spans="9:16" ht="15" customHeight="1" x14ac:dyDescent="0.35">
      <c r="I54" s="52">
        <v>23</v>
      </c>
      <c r="J54" s="53">
        <v>46045</v>
      </c>
      <c r="K54" s="54">
        <f t="shared" si="1"/>
        <v>1</v>
      </c>
      <c r="L54" s="55">
        <f t="shared" si="2"/>
        <v>3</v>
      </c>
      <c r="M54" s="56">
        <f t="shared" si="3"/>
        <v>1</v>
      </c>
      <c r="N54" s="54">
        <f t="shared" si="4"/>
        <v>23</v>
      </c>
      <c r="O54" s="52">
        <v>0</v>
      </c>
      <c r="P54" s="57">
        <f t="shared" si="5"/>
        <v>0</v>
      </c>
    </row>
    <row r="55" spans="9:16" ht="15" customHeight="1" x14ac:dyDescent="0.35">
      <c r="I55" s="52">
        <v>24</v>
      </c>
      <c r="J55" s="53">
        <v>46046</v>
      </c>
      <c r="K55" s="54">
        <f t="shared" si="1"/>
        <v>1</v>
      </c>
      <c r="L55" s="55">
        <f t="shared" si="2"/>
        <v>3</v>
      </c>
      <c r="M55" s="56">
        <f t="shared" si="3"/>
        <v>1</v>
      </c>
      <c r="N55" s="54">
        <f t="shared" si="4"/>
        <v>24</v>
      </c>
      <c r="O55" s="52">
        <v>0</v>
      </c>
      <c r="P55" s="57">
        <f t="shared" si="5"/>
        <v>0</v>
      </c>
    </row>
    <row r="56" spans="9:16" ht="15" customHeight="1" x14ac:dyDescent="0.35">
      <c r="I56" s="52">
        <v>25</v>
      </c>
      <c r="J56" s="53">
        <v>46047</v>
      </c>
      <c r="K56" s="54">
        <f t="shared" si="1"/>
        <v>1</v>
      </c>
      <c r="L56" s="55">
        <f t="shared" si="2"/>
        <v>3</v>
      </c>
      <c r="M56" s="56">
        <f t="shared" si="3"/>
        <v>1</v>
      </c>
      <c r="N56" s="54">
        <f t="shared" si="4"/>
        <v>25</v>
      </c>
      <c r="O56" s="52">
        <v>0</v>
      </c>
      <c r="P56" s="57">
        <f t="shared" si="5"/>
        <v>0</v>
      </c>
    </row>
    <row r="57" spans="9:16" ht="15" customHeight="1" x14ac:dyDescent="0.35">
      <c r="I57" s="52">
        <v>26</v>
      </c>
      <c r="J57" s="53">
        <v>46048</v>
      </c>
      <c r="K57" s="54">
        <f t="shared" si="1"/>
        <v>1</v>
      </c>
      <c r="L57" s="55">
        <f t="shared" si="2"/>
        <v>3</v>
      </c>
      <c r="M57" s="56">
        <f t="shared" si="3"/>
        <v>1</v>
      </c>
      <c r="N57" s="54">
        <f t="shared" si="4"/>
        <v>26</v>
      </c>
      <c r="O57" s="52">
        <v>0</v>
      </c>
      <c r="P57" s="57">
        <f t="shared" si="5"/>
        <v>0</v>
      </c>
    </row>
    <row r="58" spans="9:16" ht="15" customHeight="1" x14ac:dyDescent="0.35">
      <c r="I58" s="52">
        <v>27</v>
      </c>
      <c r="J58" s="53">
        <v>46049</v>
      </c>
      <c r="K58" s="54">
        <f t="shared" si="1"/>
        <v>1</v>
      </c>
      <c r="L58" s="55">
        <f t="shared" si="2"/>
        <v>3</v>
      </c>
      <c r="M58" s="56">
        <f t="shared" si="3"/>
        <v>1</v>
      </c>
      <c r="N58" s="54">
        <f t="shared" si="4"/>
        <v>27</v>
      </c>
      <c r="O58" s="52">
        <v>0</v>
      </c>
      <c r="P58" s="57">
        <f t="shared" si="5"/>
        <v>0</v>
      </c>
    </row>
    <row r="59" spans="9:16" ht="15" customHeight="1" x14ac:dyDescent="0.35">
      <c r="I59" s="52">
        <v>28</v>
      </c>
      <c r="J59" s="53">
        <v>46050</v>
      </c>
      <c r="K59" s="54">
        <f t="shared" si="1"/>
        <v>1</v>
      </c>
      <c r="L59" s="55">
        <f t="shared" si="2"/>
        <v>3</v>
      </c>
      <c r="M59" s="56">
        <f t="shared" si="3"/>
        <v>1</v>
      </c>
      <c r="N59" s="54">
        <f t="shared" si="4"/>
        <v>28</v>
      </c>
      <c r="O59" s="52">
        <v>0</v>
      </c>
      <c r="P59" s="57">
        <f t="shared" si="5"/>
        <v>0</v>
      </c>
    </row>
    <row r="60" spans="9:16" ht="15" customHeight="1" x14ac:dyDescent="0.35">
      <c r="I60" s="52">
        <v>29</v>
      </c>
      <c r="J60" s="53">
        <v>46051</v>
      </c>
      <c r="K60" s="54">
        <f t="shared" si="1"/>
        <v>1</v>
      </c>
      <c r="L60" s="55">
        <f t="shared" si="2"/>
        <v>3</v>
      </c>
      <c r="M60" s="56">
        <f t="shared" si="3"/>
        <v>1</v>
      </c>
      <c r="N60" s="54">
        <f t="shared" si="4"/>
        <v>29</v>
      </c>
      <c r="O60" s="52">
        <v>0</v>
      </c>
      <c r="P60" s="57">
        <f t="shared" si="5"/>
        <v>0</v>
      </c>
    </row>
    <row r="61" spans="9:16" ht="15" customHeight="1" x14ac:dyDescent="0.35">
      <c r="I61" s="52">
        <v>30</v>
      </c>
      <c r="J61" s="53">
        <v>46052</v>
      </c>
      <c r="K61" s="54">
        <f t="shared" si="1"/>
        <v>1</v>
      </c>
      <c r="L61" s="55">
        <f t="shared" si="2"/>
        <v>3</v>
      </c>
      <c r="M61" s="56">
        <f t="shared" si="3"/>
        <v>1</v>
      </c>
      <c r="N61" s="54">
        <f t="shared" si="4"/>
        <v>30</v>
      </c>
      <c r="O61" s="52">
        <v>0</v>
      </c>
      <c r="P61" s="57">
        <f t="shared" si="5"/>
        <v>0</v>
      </c>
    </row>
    <row r="62" spans="9:16" ht="15" customHeight="1" x14ac:dyDescent="0.35">
      <c r="I62" s="52">
        <v>31</v>
      </c>
      <c r="J62" s="53">
        <v>46053</v>
      </c>
      <c r="K62" s="54">
        <f t="shared" si="1"/>
        <v>1</v>
      </c>
      <c r="L62" s="55">
        <f t="shared" si="2"/>
        <v>3</v>
      </c>
      <c r="M62" s="56">
        <f t="shared" si="3"/>
        <v>1</v>
      </c>
      <c r="N62" s="54">
        <f t="shared" si="4"/>
        <v>31</v>
      </c>
      <c r="O62" s="52">
        <v>0</v>
      </c>
      <c r="P62" s="57">
        <f t="shared" si="5"/>
        <v>0</v>
      </c>
    </row>
    <row r="63" spans="9:16" ht="15" customHeight="1" x14ac:dyDescent="0.35">
      <c r="I63" s="52">
        <v>32</v>
      </c>
      <c r="J63" s="53">
        <v>46054</v>
      </c>
      <c r="K63" s="54">
        <f t="shared" si="1"/>
        <v>2</v>
      </c>
      <c r="L63" s="55">
        <f t="shared" si="2"/>
        <v>2</v>
      </c>
      <c r="M63" s="56">
        <f t="shared" si="3"/>
        <v>1</v>
      </c>
      <c r="N63" s="54">
        <f t="shared" si="4"/>
        <v>1</v>
      </c>
      <c r="O63" s="52">
        <v>0</v>
      </c>
      <c r="P63" s="57">
        <f t="shared" si="5"/>
        <v>0</v>
      </c>
    </row>
    <row r="64" spans="9:16" ht="15" customHeight="1" x14ac:dyDescent="0.35">
      <c r="I64" s="52">
        <v>33</v>
      </c>
      <c r="J64" s="53">
        <v>46055</v>
      </c>
      <c r="K64" s="54">
        <f t="shared" si="1"/>
        <v>2</v>
      </c>
      <c r="L64" s="55">
        <f t="shared" si="2"/>
        <v>2</v>
      </c>
      <c r="M64" s="56">
        <f t="shared" si="3"/>
        <v>1</v>
      </c>
      <c r="N64" s="54">
        <f t="shared" si="4"/>
        <v>2</v>
      </c>
      <c r="O64" s="52">
        <v>0</v>
      </c>
      <c r="P64" s="57">
        <f t="shared" si="5"/>
        <v>0</v>
      </c>
    </row>
    <row r="65" spans="9:16" ht="15" customHeight="1" x14ac:dyDescent="0.35">
      <c r="I65" s="52">
        <v>34</v>
      </c>
      <c r="J65" s="53">
        <v>46056</v>
      </c>
      <c r="K65" s="54">
        <f t="shared" si="1"/>
        <v>2</v>
      </c>
      <c r="L65" s="55">
        <f t="shared" si="2"/>
        <v>2</v>
      </c>
      <c r="M65" s="56">
        <f t="shared" si="3"/>
        <v>1</v>
      </c>
      <c r="N65" s="54">
        <f t="shared" si="4"/>
        <v>3</v>
      </c>
      <c r="O65" s="52">
        <v>0</v>
      </c>
      <c r="P65" s="57">
        <f t="shared" si="5"/>
        <v>0</v>
      </c>
    </row>
    <row r="66" spans="9:16" ht="15" customHeight="1" x14ac:dyDescent="0.35">
      <c r="I66" s="52">
        <v>35</v>
      </c>
      <c r="J66" s="53">
        <v>46057</v>
      </c>
      <c r="K66" s="54">
        <f t="shared" si="1"/>
        <v>2</v>
      </c>
      <c r="L66" s="55">
        <f t="shared" si="2"/>
        <v>2</v>
      </c>
      <c r="M66" s="56">
        <f t="shared" si="3"/>
        <v>1</v>
      </c>
      <c r="N66" s="54">
        <f t="shared" si="4"/>
        <v>4</v>
      </c>
      <c r="O66" s="52">
        <v>0</v>
      </c>
      <c r="P66" s="57">
        <f t="shared" si="5"/>
        <v>0</v>
      </c>
    </row>
    <row r="67" spans="9:16" ht="15" customHeight="1" x14ac:dyDescent="0.35">
      <c r="I67" s="52">
        <v>36</v>
      </c>
      <c r="J67" s="53">
        <v>46058</v>
      </c>
      <c r="K67" s="54">
        <f t="shared" si="1"/>
        <v>2</v>
      </c>
      <c r="L67" s="55">
        <f t="shared" si="2"/>
        <v>2</v>
      </c>
      <c r="M67" s="56">
        <f t="shared" si="3"/>
        <v>1</v>
      </c>
      <c r="N67" s="54">
        <f t="shared" si="4"/>
        <v>5</v>
      </c>
      <c r="O67" s="52">
        <v>0</v>
      </c>
      <c r="P67" s="57">
        <f t="shared" si="5"/>
        <v>0</v>
      </c>
    </row>
    <row r="68" spans="9:16" ht="15" customHeight="1" x14ac:dyDescent="0.35">
      <c r="I68" s="52">
        <v>37</v>
      </c>
      <c r="J68" s="53">
        <v>46059</v>
      </c>
      <c r="K68" s="54">
        <f t="shared" si="1"/>
        <v>2</v>
      </c>
      <c r="L68" s="55">
        <f t="shared" si="2"/>
        <v>2</v>
      </c>
      <c r="M68" s="56">
        <f t="shared" si="3"/>
        <v>1</v>
      </c>
      <c r="N68" s="54">
        <f t="shared" si="4"/>
        <v>6</v>
      </c>
      <c r="O68" s="52">
        <v>0</v>
      </c>
      <c r="P68" s="57">
        <f t="shared" si="5"/>
        <v>0</v>
      </c>
    </row>
    <row r="69" spans="9:16" ht="15" customHeight="1" x14ac:dyDescent="0.35">
      <c r="I69" s="52">
        <v>38</v>
      </c>
      <c r="J69" s="53">
        <v>46060</v>
      </c>
      <c r="K69" s="54">
        <f t="shared" si="1"/>
        <v>2</v>
      </c>
      <c r="L69" s="55">
        <f t="shared" si="2"/>
        <v>2</v>
      </c>
      <c r="M69" s="56">
        <f t="shared" si="3"/>
        <v>1</v>
      </c>
      <c r="N69" s="54">
        <f t="shared" si="4"/>
        <v>7</v>
      </c>
      <c r="O69" s="52">
        <v>0</v>
      </c>
      <c r="P69" s="57">
        <f t="shared" si="5"/>
        <v>0</v>
      </c>
    </row>
    <row r="70" spans="9:16" ht="15" customHeight="1" x14ac:dyDescent="0.35">
      <c r="I70" s="52">
        <v>39</v>
      </c>
      <c r="J70" s="53">
        <v>46061</v>
      </c>
      <c r="K70" s="54">
        <f t="shared" si="1"/>
        <v>2</v>
      </c>
      <c r="L70" s="55">
        <f t="shared" si="2"/>
        <v>2</v>
      </c>
      <c r="M70" s="56">
        <f t="shared" si="3"/>
        <v>1</v>
      </c>
      <c r="N70" s="54">
        <f t="shared" si="4"/>
        <v>8</v>
      </c>
      <c r="O70" s="52">
        <v>0</v>
      </c>
      <c r="P70" s="57">
        <f t="shared" si="5"/>
        <v>0</v>
      </c>
    </row>
    <row r="71" spans="9:16" ht="15" customHeight="1" x14ac:dyDescent="0.35">
      <c r="I71" s="52">
        <v>40</v>
      </c>
      <c r="J71" s="53">
        <v>46062</v>
      </c>
      <c r="K71" s="54">
        <f t="shared" si="1"/>
        <v>2</v>
      </c>
      <c r="L71" s="55">
        <f t="shared" si="2"/>
        <v>2</v>
      </c>
      <c r="M71" s="56">
        <f t="shared" si="3"/>
        <v>1</v>
      </c>
      <c r="N71" s="54">
        <f t="shared" si="4"/>
        <v>9</v>
      </c>
      <c r="O71" s="52">
        <v>0</v>
      </c>
      <c r="P71" s="57">
        <f t="shared" si="5"/>
        <v>0</v>
      </c>
    </row>
    <row r="72" spans="9:16" ht="15" customHeight="1" x14ac:dyDescent="0.35">
      <c r="I72" s="52">
        <v>41</v>
      </c>
      <c r="J72" s="53">
        <v>46063</v>
      </c>
      <c r="K72" s="54">
        <f t="shared" si="1"/>
        <v>2</v>
      </c>
      <c r="L72" s="55">
        <f t="shared" si="2"/>
        <v>2</v>
      </c>
      <c r="M72" s="56">
        <f t="shared" si="3"/>
        <v>1</v>
      </c>
      <c r="N72" s="54">
        <f t="shared" si="4"/>
        <v>10</v>
      </c>
      <c r="O72" s="52">
        <v>0</v>
      </c>
      <c r="P72" s="57">
        <f t="shared" si="5"/>
        <v>0</v>
      </c>
    </row>
    <row r="73" spans="9:16" ht="15" customHeight="1" x14ac:dyDescent="0.35">
      <c r="I73" s="52">
        <v>42</v>
      </c>
      <c r="J73" s="53">
        <v>46064</v>
      </c>
      <c r="K73" s="54">
        <f t="shared" si="1"/>
        <v>2</v>
      </c>
      <c r="L73" s="55">
        <f t="shared" si="2"/>
        <v>2</v>
      </c>
      <c r="M73" s="56">
        <f t="shared" si="3"/>
        <v>1</v>
      </c>
      <c r="N73" s="54">
        <f t="shared" si="4"/>
        <v>11</v>
      </c>
      <c r="O73" s="52">
        <v>0</v>
      </c>
      <c r="P73" s="57">
        <f t="shared" si="5"/>
        <v>0</v>
      </c>
    </row>
    <row r="74" spans="9:16" ht="15" customHeight="1" x14ac:dyDescent="0.35">
      <c r="I74" s="52">
        <v>43</v>
      </c>
      <c r="J74" s="53">
        <v>46065</v>
      </c>
      <c r="K74" s="54">
        <f t="shared" si="1"/>
        <v>2</v>
      </c>
      <c r="L74" s="55">
        <f t="shared" si="2"/>
        <v>2</v>
      </c>
      <c r="M74" s="56">
        <f t="shared" si="3"/>
        <v>1</v>
      </c>
      <c r="N74" s="54">
        <f t="shared" si="4"/>
        <v>12</v>
      </c>
      <c r="O74" s="52">
        <v>0</v>
      </c>
      <c r="P74" s="57">
        <f t="shared" si="5"/>
        <v>0</v>
      </c>
    </row>
    <row r="75" spans="9:16" ht="15" customHeight="1" x14ac:dyDescent="0.35">
      <c r="I75" s="52">
        <v>44</v>
      </c>
      <c r="J75" s="53">
        <v>46066</v>
      </c>
      <c r="K75" s="54">
        <f t="shared" si="1"/>
        <v>2</v>
      </c>
      <c r="L75" s="55">
        <f t="shared" si="2"/>
        <v>2</v>
      </c>
      <c r="M75" s="56">
        <f t="shared" si="3"/>
        <v>1</v>
      </c>
      <c r="N75" s="54">
        <f t="shared" si="4"/>
        <v>13</v>
      </c>
      <c r="O75" s="52">
        <v>0</v>
      </c>
      <c r="P75" s="57">
        <f t="shared" si="5"/>
        <v>0</v>
      </c>
    </row>
    <row r="76" spans="9:16" ht="15" customHeight="1" x14ac:dyDescent="0.35">
      <c r="I76" s="52">
        <v>45</v>
      </c>
      <c r="J76" s="53">
        <v>46067</v>
      </c>
      <c r="K76" s="54">
        <f t="shared" si="1"/>
        <v>2</v>
      </c>
      <c r="L76" s="55">
        <f t="shared" si="2"/>
        <v>2</v>
      </c>
      <c r="M76" s="56">
        <f t="shared" si="3"/>
        <v>1</v>
      </c>
      <c r="N76" s="54">
        <f t="shared" si="4"/>
        <v>14</v>
      </c>
      <c r="O76" s="52">
        <v>1</v>
      </c>
      <c r="P76" s="58">
        <f t="shared" si="5"/>
        <v>2</v>
      </c>
    </row>
    <row r="77" spans="9:16" ht="15" customHeight="1" x14ac:dyDescent="0.35">
      <c r="I77" s="52">
        <v>46</v>
      </c>
      <c r="J77" s="53">
        <v>46068</v>
      </c>
      <c r="K77" s="54">
        <f t="shared" si="1"/>
        <v>2</v>
      </c>
      <c r="L77" s="55">
        <f t="shared" si="2"/>
        <v>2</v>
      </c>
      <c r="M77" s="56">
        <f t="shared" si="3"/>
        <v>1</v>
      </c>
      <c r="N77" s="54">
        <f t="shared" si="4"/>
        <v>15</v>
      </c>
      <c r="O77" s="52">
        <v>0</v>
      </c>
      <c r="P77" s="57">
        <f t="shared" si="5"/>
        <v>0</v>
      </c>
    </row>
    <row r="78" spans="9:16" ht="15" customHeight="1" x14ac:dyDescent="0.35">
      <c r="I78" s="52">
        <v>47</v>
      </c>
      <c r="J78" s="53">
        <v>46069</v>
      </c>
      <c r="K78" s="54">
        <f t="shared" si="1"/>
        <v>2</v>
      </c>
      <c r="L78" s="55">
        <f t="shared" si="2"/>
        <v>2</v>
      </c>
      <c r="M78" s="56">
        <f t="shared" si="3"/>
        <v>1</v>
      </c>
      <c r="N78" s="54">
        <f t="shared" si="4"/>
        <v>16</v>
      </c>
      <c r="O78" s="52">
        <v>0</v>
      </c>
      <c r="P78" s="57">
        <f t="shared" si="5"/>
        <v>0</v>
      </c>
    </row>
    <row r="79" spans="9:16" ht="15" customHeight="1" x14ac:dyDescent="0.35">
      <c r="I79" s="52">
        <v>48</v>
      </c>
      <c r="J79" s="53">
        <v>46070</v>
      </c>
      <c r="K79" s="54">
        <f t="shared" si="1"/>
        <v>2</v>
      </c>
      <c r="L79" s="55">
        <f t="shared" si="2"/>
        <v>2</v>
      </c>
      <c r="M79" s="56">
        <f t="shared" si="3"/>
        <v>1</v>
      </c>
      <c r="N79" s="54">
        <f t="shared" si="4"/>
        <v>17</v>
      </c>
      <c r="O79" s="52">
        <v>0</v>
      </c>
      <c r="P79" s="57">
        <f t="shared" si="5"/>
        <v>0</v>
      </c>
    </row>
    <row r="80" spans="9:16" ht="15" customHeight="1" x14ac:dyDescent="0.35">
      <c r="I80" s="52">
        <v>49</v>
      </c>
      <c r="J80" s="53">
        <v>46071</v>
      </c>
      <c r="K80" s="54">
        <f t="shared" si="1"/>
        <v>2</v>
      </c>
      <c r="L80" s="55">
        <f t="shared" si="2"/>
        <v>2</v>
      </c>
      <c r="M80" s="56">
        <f t="shared" si="3"/>
        <v>1</v>
      </c>
      <c r="N80" s="54">
        <f t="shared" si="4"/>
        <v>18</v>
      </c>
      <c r="O80" s="52">
        <v>0</v>
      </c>
      <c r="P80" s="57">
        <f t="shared" si="5"/>
        <v>0</v>
      </c>
    </row>
    <row r="81" spans="9:16" ht="15" customHeight="1" x14ac:dyDescent="0.35">
      <c r="I81" s="52">
        <v>50</v>
      </c>
      <c r="J81" s="53">
        <v>46072</v>
      </c>
      <c r="K81" s="54">
        <f t="shared" si="1"/>
        <v>2</v>
      </c>
      <c r="L81" s="55">
        <f t="shared" si="2"/>
        <v>2</v>
      </c>
      <c r="M81" s="56">
        <f t="shared" si="3"/>
        <v>1</v>
      </c>
      <c r="N81" s="54">
        <f t="shared" si="4"/>
        <v>19</v>
      </c>
      <c r="O81" s="52">
        <v>0</v>
      </c>
      <c r="P81" s="57">
        <f t="shared" si="5"/>
        <v>0</v>
      </c>
    </row>
    <row r="82" spans="9:16" ht="15" customHeight="1" x14ac:dyDescent="0.35">
      <c r="I82" s="52">
        <v>51</v>
      </c>
      <c r="J82" s="53">
        <v>46073</v>
      </c>
      <c r="K82" s="54">
        <f t="shared" si="1"/>
        <v>2</v>
      </c>
      <c r="L82" s="55">
        <f t="shared" si="2"/>
        <v>2</v>
      </c>
      <c r="M82" s="56">
        <f t="shared" si="3"/>
        <v>1</v>
      </c>
      <c r="N82" s="54">
        <f t="shared" si="4"/>
        <v>20</v>
      </c>
      <c r="O82" s="52">
        <v>0</v>
      </c>
      <c r="P82" s="57">
        <f t="shared" si="5"/>
        <v>0</v>
      </c>
    </row>
    <row r="83" spans="9:16" ht="15" customHeight="1" x14ac:dyDescent="0.35">
      <c r="I83" s="52">
        <v>52</v>
      </c>
      <c r="J83" s="53">
        <v>46074</v>
      </c>
      <c r="K83" s="54">
        <f t="shared" si="1"/>
        <v>2</v>
      </c>
      <c r="L83" s="55">
        <f t="shared" si="2"/>
        <v>2</v>
      </c>
      <c r="M83" s="56">
        <f t="shared" si="3"/>
        <v>1</v>
      </c>
      <c r="N83" s="54">
        <f t="shared" si="4"/>
        <v>21</v>
      </c>
      <c r="O83" s="52">
        <v>0</v>
      </c>
      <c r="P83" s="57">
        <f t="shared" si="5"/>
        <v>0</v>
      </c>
    </row>
    <row r="84" spans="9:16" ht="15" customHeight="1" x14ac:dyDescent="0.35">
      <c r="I84" s="52">
        <v>53</v>
      </c>
      <c r="J84" s="53">
        <v>46075</v>
      </c>
      <c r="K84" s="54">
        <f t="shared" si="1"/>
        <v>2</v>
      </c>
      <c r="L84" s="55">
        <f t="shared" si="2"/>
        <v>2</v>
      </c>
      <c r="M84" s="56">
        <f t="shared" si="3"/>
        <v>1</v>
      </c>
      <c r="N84" s="54">
        <f t="shared" si="4"/>
        <v>22</v>
      </c>
      <c r="O84" s="52">
        <v>0</v>
      </c>
      <c r="P84" s="57">
        <f t="shared" si="5"/>
        <v>0</v>
      </c>
    </row>
    <row r="85" spans="9:16" ht="15" customHeight="1" x14ac:dyDescent="0.35">
      <c r="I85" s="52">
        <v>54</v>
      </c>
      <c r="J85" s="53">
        <v>46076</v>
      </c>
      <c r="K85" s="54">
        <f t="shared" si="1"/>
        <v>2</v>
      </c>
      <c r="L85" s="55">
        <f t="shared" si="2"/>
        <v>2</v>
      </c>
      <c r="M85" s="56">
        <f t="shared" si="3"/>
        <v>1</v>
      </c>
      <c r="N85" s="54">
        <f t="shared" si="4"/>
        <v>23</v>
      </c>
      <c r="O85" s="52">
        <v>0</v>
      </c>
      <c r="P85" s="57">
        <f t="shared" si="5"/>
        <v>0</v>
      </c>
    </row>
    <row r="86" spans="9:16" ht="15" customHeight="1" x14ac:dyDescent="0.35">
      <c r="I86" s="52">
        <v>55</v>
      </c>
      <c r="J86" s="53">
        <v>46077</v>
      </c>
      <c r="K86" s="54">
        <f t="shared" si="1"/>
        <v>2</v>
      </c>
      <c r="L86" s="55">
        <f t="shared" si="2"/>
        <v>2</v>
      </c>
      <c r="M86" s="56">
        <f t="shared" si="3"/>
        <v>1</v>
      </c>
      <c r="N86" s="54">
        <f t="shared" si="4"/>
        <v>24</v>
      </c>
      <c r="O86" s="52">
        <v>0</v>
      </c>
      <c r="P86" s="57">
        <f t="shared" si="5"/>
        <v>0</v>
      </c>
    </row>
    <row r="87" spans="9:16" ht="15" customHeight="1" x14ac:dyDescent="0.35">
      <c r="I87" s="52">
        <v>56</v>
      </c>
      <c r="J87" s="53">
        <v>46078</v>
      </c>
      <c r="K87" s="54">
        <f t="shared" si="1"/>
        <v>2</v>
      </c>
      <c r="L87" s="55">
        <f t="shared" si="2"/>
        <v>2</v>
      </c>
      <c r="M87" s="56">
        <f t="shared" si="3"/>
        <v>1</v>
      </c>
      <c r="N87" s="54">
        <f t="shared" si="4"/>
        <v>25</v>
      </c>
      <c r="O87" s="52">
        <v>0</v>
      </c>
      <c r="P87" s="57">
        <f t="shared" si="5"/>
        <v>0</v>
      </c>
    </row>
    <row r="88" spans="9:16" ht="15" customHeight="1" x14ac:dyDescent="0.35">
      <c r="I88" s="52">
        <v>57</v>
      </c>
      <c r="J88" s="53">
        <v>46079</v>
      </c>
      <c r="K88" s="54">
        <f t="shared" si="1"/>
        <v>2</v>
      </c>
      <c r="L88" s="55">
        <f t="shared" si="2"/>
        <v>2</v>
      </c>
      <c r="M88" s="56">
        <f t="shared" si="3"/>
        <v>1</v>
      </c>
      <c r="N88" s="54">
        <f t="shared" si="4"/>
        <v>26</v>
      </c>
      <c r="O88" s="52">
        <v>0</v>
      </c>
      <c r="P88" s="57">
        <f t="shared" si="5"/>
        <v>0</v>
      </c>
    </row>
    <row r="89" spans="9:16" ht="15" customHeight="1" x14ac:dyDescent="0.35">
      <c r="I89" s="52">
        <v>58</v>
      </c>
      <c r="J89" s="53">
        <v>46080</v>
      </c>
      <c r="K89" s="54">
        <f t="shared" si="1"/>
        <v>2</v>
      </c>
      <c r="L89" s="55">
        <f t="shared" si="2"/>
        <v>2</v>
      </c>
      <c r="M89" s="56">
        <f t="shared" si="3"/>
        <v>1</v>
      </c>
      <c r="N89" s="54">
        <f t="shared" si="4"/>
        <v>27</v>
      </c>
      <c r="O89" s="52">
        <v>0</v>
      </c>
      <c r="P89" s="57">
        <f t="shared" si="5"/>
        <v>0</v>
      </c>
    </row>
    <row r="90" spans="9:16" ht="15" customHeight="1" x14ac:dyDescent="0.35">
      <c r="I90" s="52">
        <v>59</v>
      </c>
      <c r="J90" s="53">
        <v>46081</v>
      </c>
      <c r="K90" s="54">
        <f t="shared" si="1"/>
        <v>2</v>
      </c>
      <c r="L90" s="55">
        <f t="shared" si="2"/>
        <v>2</v>
      </c>
      <c r="M90" s="56">
        <f t="shared" si="3"/>
        <v>1</v>
      </c>
      <c r="N90" s="54">
        <f t="shared" si="4"/>
        <v>28</v>
      </c>
      <c r="O90" s="52">
        <v>0</v>
      </c>
      <c r="P90" s="57">
        <f t="shared" si="5"/>
        <v>0</v>
      </c>
    </row>
    <row r="91" spans="9:16" ht="15" customHeight="1" x14ac:dyDescent="0.35">
      <c r="I91" s="52">
        <v>60</v>
      </c>
      <c r="J91" s="53">
        <v>46082</v>
      </c>
      <c r="K91" s="54">
        <f t="shared" si="1"/>
        <v>3</v>
      </c>
      <c r="L91" s="55">
        <f t="shared" si="2"/>
        <v>2</v>
      </c>
      <c r="M91" s="56">
        <f t="shared" si="3"/>
        <v>2</v>
      </c>
      <c r="N91" s="54">
        <f t="shared" si="4"/>
        <v>1</v>
      </c>
      <c r="O91" s="52">
        <v>0</v>
      </c>
      <c r="P91" s="57">
        <f t="shared" si="5"/>
        <v>0</v>
      </c>
    </row>
    <row r="92" spans="9:16" ht="15" customHeight="1" x14ac:dyDescent="0.35">
      <c r="I92" s="52">
        <v>61</v>
      </c>
      <c r="J92" s="53">
        <v>46083</v>
      </c>
      <c r="K92" s="54">
        <f t="shared" si="1"/>
        <v>3</v>
      </c>
      <c r="L92" s="55">
        <f t="shared" si="2"/>
        <v>2</v>
      </c>
      <c r="M92" s="56">
        <f t="shared" si="3"/>
        <v>2</v>
      </c>
      <c r="N92" s="54">
        <f t="shared" si="4"/>
        <v>2</v>
      </c>
      <c r="O92" s="52">
        <v>0</v>
      </c>
      <c r="P92" s="57">
        <f t="shared" si="5"/>
        <v>0</v>
      </c>
    </row>
    <row r="93" spans="9:16" ht="15" customHeight="1" x14ac:dyDescent="0.35">
      <c r="I93" s="52">
        <v>62</v>
      </c>
      <c r="J93" s="53">
        <v>46084</v>
      </c>
      <c r="K93" s="54">
        <f t="shared" si="1"/>
        <v>3</v>
      </c>
      <c r="L93" s="55">
        <f t="shared" si="2"/>
        <v>2</v>
      </c>
      <c r="M93" s="56">
        <f t="shared" si="3"/>
        <v>2</v>
      </c>
      <c r="N93" s="54">
        <f t="shared" si="4"/>
        <v>3</v>
      </c>
      <c r="O93" s="52">
        <v>0</v>
      </c>
      <c r="P93" s="57">
        <f t="shared" si="5"/>
        <v>0</v>
      </c>
    </row>
    <row r="94" spans="9:16" ht="15" customHeight="1" x14ac:dyDescent="0.35">
      <c r="I94" s="52">
        <v>63</v>
      </c>
      <c r="J94" s="53">
        <v>46085</v>
      </c>
      <c r="K94" s="54">
        <f t="shared" si="1"/>
        <v>3</v>
      </c>
      <c r="L94" s="55">
        <f t="shared" si="2"/>
        <v>2</v>
      </c>
      <c r="M94" s="56">
        <f t="shared" si="3"/>
        <v>2</v>
      </c>
      <c r="N94" s="54">
        <f t="shared" si="4"/>
        <v>4</v>
      </c>
      <c r="O94" s="52">
        <v>0</v>
      </c>
      <c r="P94" s="57">
        <f t="shared" si="5"/>
        <v>0</v>
      </c>
    </row>
    <row r="95" spans="9:16" ht="15" customHeight="1" x14ac:dyDescent="0.35">
      <c r="I95" s="52">
        <v>64</v>
      </c>
      <c r="J95" s="53">
        <v>46086</v>
      </c>
      <c r="K95" s="54">
        <f t="shared" si="1"/>
        <v>3</v>
      </c>
      <c r="L95" s="55">
        <f t="shared" si="2"/>
        <v>2</v>
      </c>
      <c r="M95" s="56">
        <f t="shared" si="3"/>
        <v>2</v>
      </c>
      <c r="N95" s="54">
        <f t="shared" si="4"/>
        <v>5</v>
      </c>
      <c r="O95" s="52">
        <v>0</v>
      </c>
      <c r="P95" s="57">
        <f t="shared" si="5"/>
        <v>0</v>
      </c>
    </row>
    <row r="96" spans="9:16" ht="15" customHeight="1" x14ac:dyDescent="0.35">
      <c r="I96" s="52">
        <v>65</v>
      </c>
      <c r="J96" s="53">
        <v>46087</v>
      </c>
      <c r="K96" s="54">
        <f t="shared" ref="K96:K159" si="6">MONTH(J96)</f>
        <v>3</v>
      </c>
      <c r="L96" s="55">
        <f t="shared" ref="L96:L159" si="7">INDEX($C$15:$C$26,K96)</f>
        <v>2</v>
      </c>
      <c r="M96" s="56">
        <f t="shared" ref="M96:M159" si="8">INDEX($D$15:$D$26,K96)</f>
        <v>2</v>
      </c>
      <c r="N96" s="54">
        <f t="shared" ref="N96:N159" si="9">DAY(J96)</f>
        <v>6</v>
      </c>
      <c r="O96" s="52">
        <v>0</v>
      </c>
      <c r="P96" s="57">
        <f t="shared" ref="P96:P159" si="10">IF(O96=1,IF(M96&gt;0,L96/M96,0),0)</f>
        <v>0</v>
      </c>
    </row>
    <row r="97" spans="9:16" ht="15" customHeight="1" x14ac:dyDescent="0.35">
      <c r="I97" s="52">
        <v>66</v>
      </c>
      <c r="J97" s="53">
        <v>46088</v>
      </c>
      <c r="K97" s="54">
        <f t="shared" si="6"/>
        <v>3</v>
      </c>
      <c r="L97" s="55">
        <f t="shared" si="7"/>
        <v>2</v>
      </c>
      <c r="M97" s="56">
        <f t="shared" si="8"/>
        <v>2</v>
      </c>
      <c r="N97" s="54">
        <f t="shared" si="9"/>
        <v>7</v>
      </c>
      <c r="O97" s="52">
        <v>0</v>
      </c>
      <c r="P97" s="57">
        <f t="shared" si="10"/>
        <v>0</v>
      </c>
    </row>
    <row r="98" spans="9:16" ht="15" customHeight="1" x14ac:dyDescent="0.35">
      <c r="I98" s="52">
        <v>67</v>
      </c>
      <c r="J98" s="53">
        <v>46089</v>
      </c>
      <c r="K98" s="54">
        <f t="shared" si="6"/>
        <v>3</v>
      </c>
      <c r="L98" s="55">
        <f t="shared" si="7"/>
        <v>2</v>
      </c>
      <c r="M98" s="56">
        <f t="shared" si="8"/>
        <v>2</v>
      </c>
      <c r="N98" s="54">
        <f t="shared" si="9"/>
        <v>8</v>
      </c>
      <c r="O98" s="52">
        <v>0</v>
      </c>
      <c r="P98" s="57">
        <f t="shared" si="10"/>
        <v>0</v>
      </c>
    </row>
    <row r="99" spans="9:16" ht="15" customHeight="1" x14ac:dyDescent="0.35">
      <c r="I99" s="52">
        <v>68</v>
      </c>
      <c r="J99" s="53">
        <v>46090</v>
      </c>
      <c r="K99" s="54">
        <f t="shared" si="6"/>
        <v>3</v>
      </c>
      <c r="L99" s="55">
        <f t="shared" si="7"/>
        <v>2</v>
      </c>
      <c r="M99" s="56">
        <f t="shared" si="8"/>
        <v>2</v>
      </c>
      <c r="N99" s="54">
        <f t="shared" si="9"/>
        <v>9</v>
      </c>
      <c r="O99" s="52">
        <v>0</v>
      </c>
      <c r="P99" s="57">
        <f t="shared" si="10"/>
        <v>0</v>
      </c>
    </row>
    <row r="100" spans="9:16" ht="15" customHeight="1" x14ac:dyDescent="0.35">
      <c r="I100" s="52">
        <v>69</v>
      </c>
      <c r="J100" s="53">
        <v>46091</v>
      </c>
      <c r="K100" s="54">
        <f t="shared" si="6"/>
        <v>3</v>
      </c>
      <c r="L100" s="55">
        <f t="shared" si="7"/>
        <v>2</v>
      </c>
      <c r="M100" s="56">
        <f t="shared" si="8"/>
        <v>2</v>
      </c>
      <c r="N100" s="54">
        <f t="shared" si="9"/>
        <v>10</v>
      </c>
      <c r="O100" s="52">
        <v>1</v>
      </c>
      <c r="P100" s="58">
        <f t="shared" si="10"/>
        <v>1</v>
      </c>
    </row>
    <row r="101" spans="9:16" ht="15" customHeight="1" x14ac:dyDescent="0.35">
      <c r="I101" s="52">
        <v>70</v>
      </c>
      <c r="J101" s="53">
        <v>46092</v>
      </c>
      <c r="K101" s="54">
        <f t="shared" si="6"/>
        <v>3</v>
      </c>
      <c r="L101" s="55">
        <f t="shared" si="7"/>
        <v>2</v>
      </c>
      <c r="M101" s="56">
        <f t="shared" si="8"/>
        <v>2</v>
      </c>
      <c r="N101" s="54">
        <f t="shared" si="9"/>
        <v>11</v>
      </c>
      <c r="O101" s="52">
        <v>0</v>
      </c>
      <c r="P101" s="57">
        <f t="shared" si="10"/>
        <v>0</v>
      </c>
    </row>
    <row r="102" spans="9:16" ht="15" customHeight="1" x14ac:dyDescent="0.35">
      <c r="I102" s="52">
        <v>71</v>
      </c>
      <c r="J102" s="53">
        <v>46093</v>
      </c>
      <c r="K102" s="54">
        <f t="shared" si="6"/>
        <v>3</v>
      </c>
      <c r="L102" s="55">
        <f t="shared" si="7"/>
        <v>2</v>
      </c>
      <c r="M102" s="56">
        <f t="shared" si="8"/>
        <v>2</v>
      </c>
      <c r="N102" s="54">
        <f t="shared" si="9"/>
        <v>12</v>
      </c>
      <c r="O102" s="52">
        <v>0</v>
      </c>
      <c r="P102" s="57">
        <f t="shared" si="10"/>
        <v>0</v>
      </c>
    </row>
    <row r="103" spans="9:16" ht="15" customHeight="1" x14ac:dyDescent="0.35">
      <c r="I103" s="52">
        <v>72</v>
      </c>
      <c r="J103" s="53">
        <v>46094</v>
      </c>
      <c r="K103" s="54">
        <f t="shared" si="6"/>
        <v>3</v>
      </c>
      <c r="L103" s="55">
        <f t="shared" si="7"/>
        <v>2</v>
      </c>
      <c r="M103" s="56">
        <f t="shared" si="8"/>
        <v>2</v>
      </c>
      <c r="N103" s="54">
        <f t="shared" si="9"/>
        <v>13</v>
      </c>
      <c r="O103" s="52">
        <v>0</v>
      </c>
      <c r="P103" s="57">
        <f t="shared" si="10"/>
        <v>0</v>
      </c>
    </row>
    <row r="104" spans="9:16" ht="15" customHeight="1" x14ac:dyDescent="0.35">
      <c r="I104" s="52">
        <v>73</v>
      </c>
      <c r="J104" s="53">
        <v>46095</v>
      </c>
      <c r="K104" s="54">
        <f t="shared" si="6"/>
        <v>3</v>
      </c>
      <c r="L104" s="55">
        <f t="shared" si="7"/>
        <v>2</v>
      </c>
      <c r="M104" s="56">
        <f t="shared" si="8"/>
        <v>2</v>
      </c>
      <c r="N104" s="54">
        <f t="shared" si="9"/>
        <v>14</v>
      </c>
      <c r="O104" s="52">
        <v>0</v>
      </c>
      <c r="P104" s="57">
        <f t="shared" si="10"/>
        <v>0</v>
      </c>
    </row>
    <row r="105" spans="9:16" ht="15" customHeight="1" x14ac:dyDescent="0.35">
      <c r="I105" s="52">
        <v>74</v>
      </c>
      <c r="J105" s="53">
        <v>46096</v>
      </c>
      <c r="K105" s="54">
        <f t="shared" si="6"/>
        <v>3</v>
      </c>
      <c r="L105" s="55">
        <f t="shared" si="7"/>
        <v>2</v>
      </c>
      <c r="M105" s="56">
        <f t="shared" si="8"/>
        <v>2</v>
      </c>
      <c r="N105" s="54">
        <f t="shared" si="9"/>
        <v>15</v>
      </c>
      <c r="O105" s="52">
        <v>0</v>
      </c>
      <c r="P105" s="57">
        <f t="shared" si="10"/>
        <v>0</v>
      </c>
    </row>
    <row r="106" spans="9:16" ht="15" customHeight="1" x14ac:dyDescent="0.35">
      <c r="I106" s="52">
        <v>75</v>
      </c>
      <c r="J106" s="53">
        <v>46097</v>
      </c>
      <c r="K106" s="54">
        <f t="shared" si="6"/>
        <v>3</v>
      </c>
      <c r="L106" s="55">
        <f t="shared" si="7"/>
        <v>2</v>
      </c>
      <c r="M106" s="56">
        <f t="shared" si="8"/>
        <v>2</v>
      </c>
      <c r="N106" s="54">
        <f t="shared" si="9"/>
        <v>16</v>
      </c>
      <c r="O106" s="52">
        <v>0</v>
      </c>
      <c r="P106" s="57">
        <f t="shared" si="10"/>
        <v>0</v>
      </c>
    </row>
    <row r="107" spans="9:16" ht="15" customHeight="1" x14ac:dyDescent="0.35">
      <c r="I107" s="52">
        <v>76</v>
      </c>
      <c r="J107" s="53">
        <v>46098</v>
      </c>
      <c r="K107" s="54">
        <f t="shared" si="6"/>
        <v>3</v>
      </c>
      <c r="L107" s="55">
        <f t="shared" si="7"/>
        <v>2</v>
      </c>
      <c r="M107" s="56">
        <f t="shared" si="8"/>
        <v>2</v>
      </c>
      <c r="N107" s="54">
        <f t="shared" si="9"/>
        <v>17</v>
      </c>
      <c r="O107" s="52">
        <v>0</v>
      </c>
      <c r="P107" s="57">
        <f t="shared" si="10"/>
        <v>0</v>
      </c>
    </row>
    <row r="108" spans="9:16" ht="15" customHeight="1" x14ac:dyDescent="0.35">
      <c r="I108" s="52">
        <v>77</v>
      </c>
      <c r="J108" s="53">
        <v>46099</v>
      </c>
      <c r="K108" s="54">
        <f t="shared" si="6"/>
        <v>3</v>
      </c>
      <c r="L108" s="55">
        <f t="shared" si="7"/>
        <v>2</v>
      </c>
      <c r="M108" s="56">
        <f t="shared" si="8"/>
        <v>2</v>
      </c>
      <c r="N108" s="54">
        <f t="shared" si="9"/>
        <v>18</v>
      </c>
      <c r="O108" s="52">
        <v>0</v>
      </c>
      <c r="P108" s="57">
        <f t="shared" si="10"/>
        <v>0</v>
      </c>
    </row>
    <row r="109" spans="9:16" ht="15" customHeight="1" x14ac:dyDescent="0.35">
      <c r="I109" s="52">
        <v>78</v>
      </c>
      <c r="J109" s="53">
        <v>46100</v>
      </c>
      <c r="K109" s="54">
        <f t="shared" si="6"/>
        <v>3</v>
      </c>
      <c r="L109" s="55">
        <f t="shared" si="7"/>
        <v>2</v>
      </c>
      <c r="M109" s="56">
        <f t="shared" si="8"/>
        <v>2</v>
      </c>
      <c r="N109" s="54">
        <f t="shared" si="9"/>
        <v>19</v>
      </c>
      <c r="O109" s="52">
        <v>0</v>
      </c>
      <c r="P109" s="57">
        <f t="shared" si="10"/>
        <v>0</v>
      </c>
    </row>
    <row r="110" spans="9:16" ht="15" customHeight="1" x14ac:dyDescent="0.35">
      <c r="I110" s="52">
        <v>79</v>
      </c>
      <c r="J110" s="53">
        <v>46101</v>
      </c>
      <c r="K110" s="54">
        <f t="shared" si="6"/>
        <v>3</v>
      </c>
      <c r="L110" s="55">
        <f t="shared" si="7"/>
        <v>2</v>
      </c>
      <c r="M110" s="56">
        <f t="shared" si="8"/>
        <v>2</v>
      </c>
      <c r="N110" s="54">
        <f t="shared" si="9"/>
        <v>20</v>
      </c>
      <c r="O110" s="52">
        <v>0</v>
      </c>
      <c r="P110" s="57">
        <f t="shared" si="10"/>
        <v>0</v>
      </c>
    </row>
    <row r="111" spans="9:16" ht="15" customHeight="1" x14ac:dyDescent="0.35">
      <c r="I111" s="52">
        <v>80</v>
      </c>
      <c r="J111" s="53">
        <v>46102</v>
      </c>
      <c r="K111" s="54">
        <f t="shared" si="6"/>
        <v>3</v>
      </c>
      <c r="L111" s="55">
        <f t="shared" si="7"/>
        <v>2</v>
      </c>
      <c r="M111" s="56">
        <f t="shared" si="8"/>
        <v>2</v>
      </c>
      <c r="N111" s="54">
        <f t="shared" si="9"/>
        <v>21</v>
      </c>
      <c r="O111" s="52">
        <v>1</v>
      </c>
      <c r="P111" s="58">
        <f t="shared" si="10"/>
        <v>1</v>
      </c>
    </row>
    <row r="112" spans="9:16" ht="15" customHeight="1" x14ac:dyDescent="0.35">
      <c r="I112" s="52">
        <v>81</v>
      </c>
      <c r="J112" s="53">
        <v>46103</v>
      </c>
      <c r="K112" s="54">
        <f t="shared" si="6"/>
        <v>3</v>
      </c>
      <c r="L112" s="55">
        <f t="shared" si="7"/>
        <v>2</v>
      </c>
      <c r="M112" s="56">
        <f t="shared" si="8"/>
        <v>2</v>
      </c>
      <c r="N112" s="54">
        <f t="shared" si="9"/>
        <v>22</v>
      </c>
      <c r="O112" s="52">
        <v>0</v>
      </c>
      <c r="P112" s="57">
        <f t="shared" si="10"/>
        <v>0</v>
      </c>
    </row>
    <row r="113" spans="9:16" ht="15" customHeight="1" x14ac:dyDescent="0.35">
      <c r="I113" s="52">
        <v>82</v>
      </c>
      <c r="J113" s="53">
        <v>46104</v>
      </c>
      <c r="K113" s="54">
        <f t="shared" si="6"/>
        <v>3</v>
      </c>
      <c r="L113" s="55">
        <f t="shared" si="7"/>
        <v>2</v>
      </c>
      <c r="M113" s="56">
        <f t="shared" si="8"/>
        <v>2</v>
      </c>
      <c r="N113" s="54">
        <f t="shared" si="9"/>
        <v>23</v>
      </c>
      <c r="O113" s="52">
        <v>0</v>
      </c>
      <c r="P113" s="57">
        <f t="shared" si="10"/>
        <v>0</v>
      </c>
    </row>
    <row r="114" spans="9:16" ht="15" customHeight="1" x14ac:dyDescent="0.35">
      <c r="I114" s="52">
        <v>83</v>
      </c>
      <c r="J114" s="53">
        <v>46105</v>
      </c>
      <c r="K114" s="54">
        <f t="shared" si="6"/>
        <v>3</v>
      </c>
      <c r="L114" s="55">
        <f t="shared" si="7"/>
        <v>2</v>
      </c>
      <c r="M114" s="56">
        <f t="shared" si="8"/>
        <v>2</v>
      </c>
      <c r="N114" s="54">
        <f t="shared" si="9"/>
        <v>24</v>
      </c>
      <c r="O114" s="52">
        <v>0</v>
      </c>
      <c r="P114" s="57">
        <f t="shared" si="10"/>
        <v>0</v>
      </c>
    </row>
    <row r="115" spans="9:16" ht="15" customHeight="1" x14ac:dyDescent="0.35">
      <c r="I115" s="52">
        <v>84</v>
      </c>
      <c r="J115" s="53">
        <v>46106</v>
      </c>
      <c r="K115" s="54">
        <f t="shared" si="6"/>
        <v>3</v>
      </c>
      <c r="L115" s="55">
        <f t="shared" si="7"/>
        <v>2</v>
      </c>
      <c r="M115" s="56">
        <f t="shared" si="8"/>
        <v>2</v>
      </c>
      <c r="N115" s="54">
        <f t="shared" si="9"/>
        <v>25</v>
      </c>
      <c r="O115" s="52">
        <v>0</v>
      </c>
      <c r="P115" s="57">
        <f t="shared" si="10"/>
        <v>0</v>
      </c>
    </row>
    <row r="116" spans="9:16" ht="15" customHeight="1" x14ac:dyDescent="0.35">
      <c r="I116" s="52">
        <v>85</v>
      </c>
      <c r="J116" s="53">
        <v>46107</v>
      </c>
      <c r="K116" s="54">
        <f t="shared" si="6"/>
        <v>3</v>
      </c>
      <c r="L116" s="55">
        <f t="shared" si="7"/>
        <v>2</v>
      </c>
      <c r="M116" s="56">
        <f t="shared" si="8"/>
        <v>2</v>
      </c>
      <c r="N116" s="54">
        <f t="shared" si="9"/>
        <v>26</v>
      </c>
      <c r="O116" s="52">
        <v>0</v>
      </c>
      <c r="P116" s="57">
        <f t="shared" si="10"/>
        <v>0</v>
      </c>
    </row>
    <row r="117" spans="9:16" ht="15" customHeight="1" x14ac:dyDescent="0.35">
      <c r="I117" s="52">
        <v>86</v>
      </c>
      <c r="J117" s="53">
        <v>46108</v>
      </c>
      <c r="K117" s="54">
        <f t="shared" si="6"/>
        <v>3</v>
      </c>
      <c r="L117" s="55">
        <f t="shared" si="7"/>
        <v>2</v>
      </c>
      <c r="M117" s="56">
        <f t="shared" si="8"/>
        <v>2</v>
      </c>
      <c r="N117" s="54">
        <f t="shared" si="9"/>
        <v>27</v>
      </c>
      <c r="O117" s="52">
        <v>0</v>
      </c>
      <c r="P117" s="57">
        <f t="shared" si="10"/>
        <v>0</v>
      </c>
    </row>
    <row r="118" spans="9:16" ht="15" customHeight="1" x14ac:dyDescent="0.35">
      <c r="I118" s="52">
        <v>87</v>
      </c>
      <c r="J118" s="53">
        <v>46109</v>
      </c>
      <c r="K118" s="54">
        <f t="shared" si="6"/>
        <v>3</v>
      </c>
      <c r="L118" s="55">
        <f t="shared" si="7"/>
        <v>2</v>
      </c>
      <c r="M118" s="56">
        <f t="shared" si="8"/>
        <v>2</v>
      </c>
      <c r="N118" s="54">
        <f t="shared" si="9"/>
        <v>28</v>
      </c>
      <c r="O118" s="52">
        <v>0</v>
      </c>
      <c r="P118" s="57">
        <f t="shared" si="10"/>
        <v>0</v>
      </c>
    </row>
    <row r="119" spans="9:16" ht="15" customHeight="1" x14ac:dyDescent="0.35">
      <c r="I119" s="52">
        <v>88</v>
      </c>
      <c r="J119" s="53">
        <v>46110</v>
      </c>
      <c r="K119" s="54">
        <f t="shared" si="6"/>
        <v>3</v>
      </c>
      <c r="L119" s="55">
        <f t="shared" si="7"/>
        <v>2</v>
      </c>
      <c r="M119" s="56">
        <f t="shared" si="8"/>
        <v>2</v>
      </c>
      <c r="N119" s="54">
        <f t="shared" si="9"/>
        <v>29</v>
      </c>
      <c r="O119" s="52">
        <v>0</v>
      </c>
      <c r="P119" s="57">
        <f t="shared" si="10"/>
        <v>0</v>
      </c>
    </row>
    <row r="120" spans="9:16" ht="15" customHeight="1" x14ac:dyDescent="0.35">
      <c r="I120" s="52">
        <v>89</v>
      </c>
      <c r="J120" s="53">
        <v>46111</v>
      </c>
      <c r="K120" s="54">
        <f t="shared" si="6"/>
        <v>3</v>
      </c>
      <c r="L120" s="55">
        <f t="shared" si="7"/>
        <v>2</v>
      </c>
      <c r="M120" s="56">
        <f t="shared" si="8"/>
        <v>2</v>
      </c>
      <c r="N120" s="54">
        <f t="shared" si="9"/>
        <v>30</v>
      </c>
      <c r="O120" s="52">
        <v>0</v>
      </c>
      <c r="P120" s="57">
        <f t="shared" si="10"/>
        <v>0</v>
      </c>
    </row>
    <row r="121" spans="9:16" ht="15" customHeight="1" x14ac:dyDescent="0.35">
      <c r="I121" s="52">
        <v>90</v>
      </c>
      <c r="J121" s="53">
        <v>46112</v>
      </c>
      <c r="K121" s="54">
        <f t="shared" si="6"/>
        <v>3</v>
      </c>
      <c r="L121" s="55">
        <f t="shared" si="7"/>
        <v>2</v>
      </c>
      <c r="M121" s="56">
        <f t="shared" si="8"/>
        <v>2</v>
      </c>
      <c r="N121" s="54">
        <f t="shared" si="9"/>
        <v>31</v>
      </c>
      <c r="O121" s="52">
        <v>0</v>
      </c>
      <c r="P121" s="57">
        <f t="shared" si="10"/>
        <v>0</v>
      </c>
    </row>
    <row r="122" spans="9:16" ht="15" customHeight="1" x14ac:dyDescent="0.35">
      <c r="I122" s="52">
        <v>91</v>
      </c>
      <c r="J122" s="53">
        <v>46113</v>
      </c>
      <c r="K122" s="54">
        <f t="shared" si="6"/>
        <v>4</v>
      </c>
      <c r="L122" s="55">
        <f t="shared" si="7"/>
        <v>1</v>
      </c>
      <c r="M122" s="56">
        <f t="shared" si="8"/>
        <v>0</v>
      </c>
      <c r="N122" s="54">
        <f t="shared" si="9"/>
        <v>1</v>
      </c>
      <c r="O122" s="52">
        <v>0</v>
      </c>
      <c r="P122" s="57">
        <f t="shared" si="10"/>
        <v>0</v>
      </c>
    </row>
    <row r="123" spans="9:16" ht="15" customHeight="1" x14ac:dyDescent="0.35">
      <c r="I123" s="52">
        <v>92</v>
      </c>
      <c r="J123" s="53">
        <v>46114</v>
      </c>
      <c r="K123" s="54">
        <f t="shared" si="6"/>
        <v>4</v>
      </c>
      <c r="L123" s="55">
        <f t="shared" si="7"/>
        <v>1</v>
      </c>
      <c r="M123" s="56">
        <f t="shared" si="8"/>
        <v>0</v>
      </c>
      <c r="N123" s="54">
        <f t="shared" si="9"/>
        <v>2</v>
      </c>
      <c r="O123" s="52">
        <v>0</v>
      </c>
      <c r="P123" s="57">
        <f t="shared" si="10"/>
        <v>0</v>
      </c>
    </row>
    <row r="124" spans="9:16" ht="15" customHeight="1" x14ac:dyDescent="0.35">
      <c r="I124" s="52">
        <v>93</v>
      </c>
      <c r="J124" s="53">
        <v>46115</v>
      </c>
      <c r="K124" s="54">
        <f t="shared" si="6"/>
        <v>4</v>
      </c>
      <c r="L124" s="55">
        <f t="shared" si="7"/>
        <v>1</v>
      </c>
      <c r="M124" s="56">
        <f t="shared" si="8"/>
        <v>0</v>
      </c>
      <c r="N124" s="54">
        <f t="shared" si="9"/>
        <v>3</v>
      </c>
      <c r="O124" s="52">
        <v>0</v>
      </c>
      <c r="P124" s="57">
        <f t="shared" si="10"/>
        <v>0</v>
      </c>
    </row>
    <row r="125" spans="9:16" ht="15" customHeight="1" x14ac:dyDescent="0.35">
      <c r="I125" s="52">
        <v>94</v>
      </c>
      <c r="J125" s="53">
        <v>46116</v>
      </c>
      <c r="K125" s="54">
        <f t="shared" si="6"/>
        <v>4</v>
      </c>
      <c r="L125" s="55">
        <f t="shared" si="7"/>
        <v>1</v>
      </c>
      <c r="M125" s="56">
        <f t="shared" si="8"/>
        <v>0</v>
      </c>
      <c r="N125" s="54">
        <f t="shared" si="9"/>
        <v>4</v>
      </c>
      <c r="O125" s="52">
        <v>0</v>
      </c>
      <c r="P125" s="57">
        <f t="shared" si="10"/>
        <v>0</v>
      </c>
    </row>
    <row r="126" spans="9:16" ht="15" customHeight="1" x14ac:dyDescent="0.35">
      <c r="I126" s="52">
        <v>95</v>
      </c>
      <c r="J126" s="53">
        <v>46117</v>
      </c>
      <c r="K126" s="54">
        <f t="shared" si="6"/>
        <v>4</v>
      </c>
      <c r="L126" s="55">
        <f t="shared" si="7"/>
        <v>1</v>
      </c>
      <c r="M126" s="56">
        <f t="shared" si="8"/>
        <v>0</v>
      </c>
      <c r="N126" s="54">
        <f t="shared" si="9"/>
        <v>5</v>
      </c>
      <c r="O126" s="52">
        <v>0</v>
      </c>
      <c r="P126" s="57">
        <f t="shared" si="10"/>
        <v>0</v>
      </c>
    </row>
    <row r="127" spans="9:16" ht="15" customHeight="1" x14ac:dyDescent="0.35">
      <c r="I127" s="52">
        <v>96</v>
      </c>
      <c r="J127" s="53">
        <v>46118</v>
      </c>
      <c r="K127" s="54">
        <f t="shared" si="6"/>
        <v>4</v>
      </c>
      <c r="L127" s="55">
        <f t="shared" si="7"/>
        <v>1</v>
      </c>
      <c r="M127" s="56">
        <f t="shared" si="8"/>
        <v>0</v>
      </c>
      <c r="N127" s="54">
        <f t="shared" si="9"/>
        <v>6</v>
      </c>
      <c r="O127" s="52">
        <v>0</v>
      </c>
      <c r="P127" s="57">
        <f t="shared" si="10"/>
        <v>0</v>
      </c>
    </row>
    <row r="128" spans="9:16" ht="15" customHeight="1" x14ac:dyDescent="0.35">
      <c r="I128" s="52">
        <v>97</v>
      </c>
      <c r="J128" s="53">
        <v>46119</v>
      </c>
      <c r="K128" s="54">
        <f t="shared" si="6"/>
        <v>4</v>
      </c>
      <c r="L128" s="55">
        <f t="shared" si="7"/>
        <v>1</v>
      </c>
      <c r="M128" s="56">
        <f t="shared" si="8"/>
        <v>0</v>
      </c>
      <c r="N128" s="54">
        <f t="shared" si="9"/>
        <v>7</v>
      </c>
      <c r="O128" s="52">
        <v>0</v>
      </c>
      <c r="P128" s="57">
        <f t="shared" si="10"/>
        <v>0</v>
      </c>
    </row>
    <row r="129" spans="9:16" ht="15" customHeight="1" x14ac:dyDescent="0.35">
      <c r="I129" s="52">
        <v>98</v>
      </c>
      <c r="J129" s="53">
        <v>46120</v>
      </c>
      <c r="K129" s="54">
        <f t="shared" si="6"/>
        <v>4</v>
      </c>
      <c r="L129" s="55">
        <f t="shared" si="7"/>
        <v>1</v>
      </c>
      <c r="M129" s="56">
        <f t="shared" si="8"/>
        <v>0</v>
      </c>
      <c r="N129" s="54">
        <f t="shared" si="9"/>
        <v>8</v>
      </c>
      <c r="O129" s="52">
        <v>0</v>
      </c>
      <c r="P129" s="57">
        <f t="shared" si="10"/>
        <v>0</v>
      </c>
    </row>
    <row r="130" spans="9:16" ht="15" customHeight="1" x14ac:dyDescent="0.35">
      <c r="I130" s="52">
        <v>99</v>
      </c>
      <c r="J130" s="53">
        <v>46121</v>
      </c>
      <c r="K130" s="54">
        <f t="shared" si="6"/>
        <v>4</v>
      </c>
      <c r="L130" s="55">
        <f t="shared" si="7"/>
        <v>1</v>
      </c>
      <c r="M130" s="56">
        <f t="shared" si="8"/>
        <v>0</v>
      </c>
      <c r="N130" s="54">
        <f t="shared" si="9"/>
        <v>9</v>
      </c>
      <c r="O130" s="52">
        <v>0</v>
      </c>
      <c r="P130" s="57">
        <f t="shared" si="10"/>
        <v>0</v>
      </c>
    </row>
    <row r="131" spans="9:16" ht="15" customHeight="1" x14ac:dyDescent="0.35">
      <c r="I131" s="52">
        <v>100</v>
      </c>
      <c r="J131" s="53">
        <v>46122</v>
      </c>
      <c r="K131" s="54">
        <f t="shared" si="6"/>
        <v>4</v>
      </c>
      <c r="L131" s="55">
        <f t="shared" si="7"/>
        <v>1</v>
      </c>
      <c r="M131" s="56">
        <f t="shared" si="8"/>
        <v>0</v>
      </c>
      <c r="N131" s="54">
        <f t="shared" si="9"/>
        <v>10</v>
      </c>
      <c r="O131" s="52">
        <v>0</v>
      </c>
      <c r="P131" s="57">
        <f t="shared" si="10"/>
        <v>0</v>
      </c>
    </row>
    <row r="132" spans="9:16" ht="15" customHeight="1" x14ac:dyDescent="0.35">
      <c r="I132" s="52">
        <v>101</v>
      </c>
      <c r="J132" s="53">
        <v>46123</v>
      </c>
      <c r="K132" s="54">
        <f t="shared" si="6"/>
        <v>4</v>
      </c>
      <c r="L132" s="55">
        <f t="shared" si="7"/>
        <v>1</v>
      </c>
      <c r="M132" s="56">
        <f t="shared" si="8"/>
        <v>0</v>
      </c>
      <c r="N132" s="54">
        <f t="shared" si="9"/>
        <v>11</v>
      </c>
      <c r="O132" s="52">
        <v>0</v>
      </c>
      <c r="P132" s="57">
        <f t="shared" si="10"/>
        <v>0</v>
      </c>
    </row>
    <row r="133" spans="9:16" ht="15" customHeight="1" x14ac:dyDescent="0.35">
      <c r="I133" s="52">
        <v>102</v>
      </c>
      <c r="J133" s="53">
        <v>46124</v>
      </c>
      <c r="K133" s="54">
        <f t="shared" si="6"/>
        <v>4</v>
      </c>
      <c r="L133" s="55">
        <f t="shared" si="7"/>
        <v>1</v>
      </c>
      <c r="M133" s="56">
        <f t="shared" si="8"/>
        <v>0</v>
      </c>
      <c r="N133" s="54">
        <f t="shared" si="9"/>
        <v>12</v>
      </c>
      <c r="O133" s="52">
        <v>0</v>
      </c>
      <c r="P133" s="57">
        <f t="shared" si="10"/>
        <v>0</v>
      </c>
    </row>
    <row r="134" spans="9:16" ht="15" customHeight="1" x14ac:dyDescent="0.35">
      <c r="I134" s="52">
        <v>103</v>
      </c>
      <c r="J134" s="53">
        <v>46125</v>
      </c>
      <c r="K134" s="54">
        <f t="shared" si="6"/>
        <v>4</v>
      </c>
      <c r="L134" s="55">
        <f t="shared" si="7"/>
        <v>1</v>
      </c>
      <c r="M134" s="56">
        <f t="shared" si="8"/>
        <v>0</v>
      </c>
      <c r="N134" s="54">
        <f t="shared" si="9"/>
        <v>13</v>
      </c>
      <c r="O134" s="52">
        <v>0</v>
      </c>
      <c r="P134" s="57">
        <f t="shared" si="10"/>
        <v>0</v>
      </c>
    </row>
    <row r="135" spans="9:16" ht="15" customHeight="1" x14ac:dyDescent="0.35">
      <c r="I135" s="52">
        <v>104</v>
      </c>
      <c r="J135" s="53">
        <v>46126</v>
      </c>
      <c r="K135" s="54">
        <f t="shared" si="6"/>
        <v>4</v>
      </c>
      <c r="L135" s="55">
        <f t="shared" si="7"/>
        <v>1</v>
      </c>
      <c r="M135" s="56">
        <f t="shared" si="8"/>
        <v>0</v>
      </c>
      <c r="N135" s="54">
        <f t="shared" si="9"/>
        <v>14</v>
      </c>
      <c r="O135" s="52">
        <v>0</v>
      </c>
      <c r="P135" s="57">
        <f t="shared" si="10"/>
        <v>0</v>
      </c>
    </row>
    <row r="136" spans="9:16" ht="15" customHeight="1" x14ac:dyDescent="0.35">
      <c r="I136" s="52">
        <v>105</v>
      </c>
      <c r="J136" s="53">
        <v>46127</v>
      </c>
      <c r="K136" s="54">
        <f t="shared" si="6"/>
        <v>4</v>
      </c>
      <c r="L136" s="55">
        <f t="shared" si="7"/>
        <v>1</v>
      </c>
      <c r="M136" s="56">
        <f t="shared" si="8"/>
        <v>0</v>
      </c>
      <c r="N136" s="54">
        <f t="shared" si="9"/>
        <v>15</v>
      </c>
      <c r="O136" s="52">
        <v>0</v>
      </c>
      <c r="P136" s="57">
        <f t="shared" si="10"/>
        <v>0</v>
      </c>
    </row>
    <row r="137" spans="9:16" ht="15" customHeight="1" x14ac:dyDescent="0.35">
      <c r="I137" s="52">
        <v>106</v>
      </c>
      <c r="J137" s="53">
        <v>46128</v>
      </c>
      <c r="K137" s="54">
        <f t="shared" si="6"/>
        <v>4</v>
      </c>
      <c r="L137" s="55">
        <f t="shared" si="7"/>
        <v>1</v>
      </c>
      <c r="M137" s="56">
        <f t="shared" si="8"/>
        <v>0</v>
      </c>
      <c r="N137" s="54">
        <f t="shared" si="9"/>
        <v>16</v>
      </c>
      <c r="O137" s="52">
        <v>0</v>
      </c>
      <c r="P137" s="57">
        <f t="shared" si="10"/>
        <v>0</v>
      </c>
    </row>
    <row r="138" spans="9:16" ht="15" customHeight="1" x14ac:dyDescent="0.35">
      <c r="I138" s="52">
        <v>107</v>
      </c>
      <c r="J138" s="53">
        <v>46129</v>
      </c>
      <c r="K138" s="54">
        <f t="shared" si="6"/>
        <v>4</v>
      </c>
      <c r="L138" s="55">
        <f t="shared" si="7"/>
        <v>1</v>
      </c>
      <c r="M138" s="56">
        <f t="shared" si="8"/>
        <v>0</v>
      </c>
      <c r="N138" s="54">
        <f t="shared" si="9"/>
        <v>17</v>
      </c>
      <c r="O138" s="52">
        <v>0</v>
      </c>
      <c r="P138" s="57">
        <f t="shared" si="10"/>
        <v>0</v>
      </c>
    </row>
    <row r="139" spans="9:16" ht="15" customHeight="1" x14ac:dyDescent="0.35">
      <c r="I139" s="52">
        <v>108</v>
      </c>
      <c r="J139" s="53">
        <v>46130</v>
      </c>
      <c r="K139" s="54">
        <f t="shared" si="6"/>
        <v>4</v>
      </c>
      <c r="L139" s="55">
        <f t="shared" si="7"/>
        <v>1</v>
      </c>
      <c r="M139" s="56">
        <f t="shared" si="8"/>
        <v>0</v>
      </c>
      <c r="N139" s="54">
        <f t="shared" si="9"/>
        <v>18</v>
      </c>
      <c r="O139" s="52">
        <v>0</v>
      </c>
      <c r="P139" s="57">
        <f t="shared" si="10"/>
        <v>0</v>
      </c>
    </row>
    <row r="140" spans="9:16" ht="15" customHeight="1" x14ac:dyDescent="0.35">
      <c r="I140" s="52">
        <v>109</v>
      </c>
      <c r="J140" s="53">
        <v>46131</v>
      </c>
      <c r="K140" s="54">
        <f t="shared" si="6"/>
        <v>4</v>
      </c>
      <c r="L140" s="55">
        <f t="shared" si="7"/>
        <v>1</v>
      </c>
      <c r="M140" s="56">
        <f t="shared" si="8"/>
        <v>0</v>
      </c>
      <c r="N140" s="54">
        <f t="shared" si="9"/>
        <v>19</v>
      </c>
      <c r="O140" s="52">
        <v>0</v>
      </c>
      <c r="P140" s="57">
        <f t="shared" si="10"/>
        <v>0</v>
      </c>
    </row>
    <row r="141" spans="9:16" ht="15" customHeight="1" x14ac:dyDescent="0.35">
      <c r="I141" s="52">
        <v>110</v>
      </c>
      <c r="J141" s="53">
        <v>46132</v>
      </c>
      <c r="K141" s="54">
        <f t="shared" si="6"/>
        <v>4</v>
      </c>
      <c r="L141" s="55">
        <f t="shared" si="7"/>
        <v>1</v>
      </c>
      <c r="M141" s="56">
        <f t="shared" si="8"/>
        <v>0</v>
      </c>
      <c r="N141" s="54">
        <f t="shared" si="9"/>
        <v>20</v>
      </c>
      <c r="O141" s="52">
        <v>0</v>
      </c>
      <c r="P141" s="57">
        <f t="shared" si="10"/>
        <v>0</v>
      </c>
    </row>
    <row r="142" spans="9:16" ht="15" customHeight="1" x14ac:dyDescent="0.35">
      <c r="I142" s="52">
        <v>111</v>
      </c>
      <c r="J142" s="53">
        <v>46133</v>
      </c>
      <c r="K142" s="54">
        <f t="shared" si="6"/>
        <v>4</v>
      </c>
      <c r="L142" s="55">
        <f t="shared" si="7"/>
        <v>1</v>
      </c>
      <c r="M142" s="56">
        <f t="shared" si="8"/>
        <v>0</v>
      </c>
      <c r="N142" s="54">
        <f t="shared" si="9"/>
        <v>21</v>
      </c>
      <c r="O142" s="52">
        <v>0</v>
      </c>
      <c r="P142" s="57">
        <f t="shared" si="10"/>
        <v>0</v>
      </c>
    </row>
    <row r="143" spans="9:16" ht="15" customHeight="1" x14ac:dyDescent="0.35">
      <c r="I143" s="52">
        <v>112</v>
      </c>
      <c r="J143" s="53">
        <v>46134</v>
      </c>
      <c r="K143" s="54">
        <f t="shared" si="6"/>
        <v>4</v>
      </c>
      <c r="L143" s="55">
        <f t="shared" si="7"/>
        <v>1</v>
      </c>
      <c r="M143" s="56">
        <f t="shared" si="8"/>
        <v>0</v>
      </c>
      <c r="N143" s="54">
        <f t="shared" si="9"/>
        <v>22</v>
      </c>
      <c r="O143" s="52">
        <v>0</v>
      </c>
      <c r="P143" s="57">
        <f t="shared" si="10"/>
        <v>0</v>
      </c>
    </row>
    <row r="144" spans="9:16" ht="15" customHeight="1" x14ac:dyDescent="0.35">
      <c r="I144" s="52">
        <v>113</v>
      </c>
      <c r="J144" s="53">
        <v>46135</v>
      </c>
      <c r="K144" s="54">
        <f t="shared" si="6"/>
        <v>4</v>
      </c>
      <c r="L144" s="55">
        <f t="shared" si="7"/>
        <v>1</v>
      </c>
      <c r="M144" s="56">
        <f t="shared" si="8"/>
        <v>0</v>
      </c>
      <c r="N144" s="54">
        <f t="shared" si="9"/>
        <v>23</v>
      </c>
      <c r="O144" s="52">
        <v>0</v>
      </c>
      <c r="P144" s="57">
        <f t="shared" si="10"/>
        <v>0</v>
      </c>
    </row>
    <row r="145" spans="9:16" ht="15" customHeight="1" x14ac:dyDescent="0.35">
      <c r="I145" s="52">
        <v>114</v>
      </c>
      <c r="J145" s="53">
        <v>46136</v>
      </c>
      <c r="K145" s="54">
        <f t="shared" si="6"/>
        <v>4</v>
      </c>
      <c r="L145" s="55">
        <f t="shared" si="7"/>
        <v>1</v>
      </c>
      <c r="M145" s="56">
        <f t="shared" si="8"/>
        <v>0</v>
      </c>
      <c r="N145" s="54">
        <f t="shared" si="9"/>
        <v>24</v>
      </c>
      <c r="O145" s="52">
        <v>0</v>
      </c>
      <c r="P145" s="57">
        <f t="shared" si="10"/>
        <v>0</v>
      </c>
    </row>
    <row r="146" spans="9:16" ht="15" customHeight="1" x14ac:dyDescent="0.35">
      <c r="I146" s="52">
        <v>115</v>
      </c>
      <c r="J146" s="53">
        <v>46137</v>
      </c>
      <c r="K146" s="54">
        <f t="shared" si="6"/>
        <v>4</v>
      </c>
      <c r="L146" s="55">
        <f t="shared" si="7"/>
        <v>1</v>
      </c>
      <c r="M146" s="56">
        <f t="shared" si="8"/>
        <v>0</v>
      </c>
      <c r="N146" s="54">
        <f t="shared" si="9"/>
        <v>25</v>
      </c>
      <c r="O146" s="52">
        <v>0</v>
      </c>
      <c r="P146" s="57">
        <f t="shared" si="10"/>
        <v>0</v>
      </c>
    </row>
    <row r="147" spans="9:16" ht="15" customHeight="1" x14ac:dyDescent="0.35">
      <c r="I147" s="52">
        <v>116</v>
      </c>
      <c r="J147" s="53">
        <v>46138</v>
      </c>
      <c r="K147" s="54">
        <f t="shared" si="6"/>
        <v>4</v>
      </c>
      <c r="L147" s="55">
        <f t="shared" si="7"/>
        <v>1</v>
      </c>
      <c r="M147" s="56">
        <f t="shared" si="8"/>
        <v>0</v>
      </c>
      <c r="N147" s="54">
        <f t="shared" si="9"/>
        <v>26</v>
      </c>
      <c r="O147" s="52">
        <v>0</v>
      </c>
      <c r="P147" s="57">
        <f t="shared" si="10"/>
        <v>0</v>
      </c>
    </row>
    <row r="148" spans="9:16" ht="15" customHeight="1" x14ac:dyDescent="0.35">
      <c r="I148" s="52">
        <v>117</v>
      </c>
      <c r="J148" s="53">
        <v>46139</v>
      </c>
      <c r="K148" s="54">
        <f t="shared" si="6"/>
        <v>4</v>
      </c>
      <c r="L148" s="55">
        <f t="shared" si="7"/>
        <v>1</v>
      </c>
      <c r="M148" s="56">
        <f t="shared" si="8"/>
        <v>0</v>
      </c>
      <c r="N148" s="54">
        <f t="shared" si="9"/>
        <v>27</v>
      </c>
      <c r="O148" s="52">
        <v>0</v>
      </c>
      <c r="P148" s="57">
        <f t="shared" si="10"/>
        <v>0</v>
      </c>
    </row>
    <row r="149" spans="9:16" ht="15" customHeight="1" x14ac:dyDescent="0.35">
      <c r="I149" s="52">
        <v>118</v>
      </c>
      <c r="J149" s="53">
        <v>46140</v>
      </c>
      <c r="K149" s="54">
        <f t="shared" si="6"/>
        <v>4</v>
      </c>
      <c r="L149" s="55">
        <f t="shared" si="7"/>
        <v>1</v>
      </c>
      <c r="M149" s="56">
        <f t="shared" si="8"/>
        <v>0</v>
      </c>
      <c r="N149" s="54">
        <f t="shared" si="9"/>
        <v>28</v>
      </c>
      <c r="O149" s="52">
        <v>0</v>
      </c>
      <c r="P149" s="57">
        <f t="shared" si="10"/>
        <v>0</v>
      </c>
    </row>
    <row r="150" spans="9:16" ht="15" customHeight="1" x14ac:dyDescent="0.35">
      <c r="I150" s="52">
        <v>119</v>
      </c>
      <c r="J150" s="53">
        <v>46141</v>
      </c>
      <c r="K150" s="54">
        <f t="shared" si="6"/>
        <v>4</v>
      </c>
      <c r="L150" s="55">
        <f t="shared" si="7"/>
        <v>1</v>
      </c>
      <c r="M150" s="56">
        <f t="shared" si="8"/>
        <v>0</v>
      </c>
      <c r="N150" s="54">
        <f t="shared" si="9"/>
        <v>29</v>
      </c>
      <c r="O150" s="52">
        <v>0</v>
      </c>
      <c r="P150" s="57">
        <f t="shared" si="10"/>
        <v>0</v>
      </c>
    </row>
    <row r="151" spans="9:16" ht="15" customHeight="1" x14ac:dyDescent="0.35">
      <c r="I151" s="52">
        <v>120</v>
      </c>
      <c r="J151" s="53">
        <v>46142</v>
      </c>
      <c r="K151" s="54">
        <f t="shared" si="6"/>
        <v>4</v>
      </c>
      <c r="L151" s="55">
        <f t="shared" si="7"/>
        <v>1</v>
      </c>
      <c r="M151" s="56">
        <f t="shared" si="8"/>
        <v>0</v>
      </c>
      <c r="N151" s="54">
        <f t="shared" si="9"/>
        <v>30</v>
      </c>
      <c r="O151" s="52">
        <v>0</v>
      </c>
      <c r="P151" s="57">
        <f t="shared" si="10"/>
        <v>0</v>
      </c>
    </row>
    <row r="152" spans="9:16" ht="15" customHeight="1" x14ac:dyDescent="0.35">
      <c r="I152" s="52">
        <v>121</v>
      </c>
      <c r="J152" s="53">
        <v>46143</v>
      </c>
      <c r="K152" s="54">
        <f t="shared" si="6"/>
        <v>5</v>
      </c>
      <c r="L152" s="55">
        <f t="shared" si="7"/>
        <v>1</v>
      </c>
      <c r="M152" s="56">
        <f t="shared" si="8"/>
        <v>0</v>
      </c>
      <c r="N152" s="54">
        <f t="shared" si="9"/>
        <v>1</v>
      </c>
      <c r="O152" s="52">
        <v>0</v>
      </c>
      <c r="P152" s="57">
        <f t="shared" si="10"/>
        <v>0</v>
      </c>
    </row>
    <row r="153" spans="9:16" ht="15" customHeight="1" x14ac:dyDescent="0.35">
      <c r="I153" s="52">
        <v>122</v>
      </c>
      <c r="J153" s="53">
        <v>46144</v>
      </c>
      <c r="K153" s="54">
        <f t="shared" si="6"/>
        <v>5</v>
      </c>
      <c r="L153" s="55">
        <f t="shared" si="7"/>
        <v>1</v>
      </c>
      <c r="M153" s="56">
        <f t="shared" si="8"/>
        <v>0</v>
      </c>
      <c r="N153" s="54">
        <f t="shared" si="9"/>
        <v>2</v>
      </c>
      <c r="O153" s="52">
        <v>0</v>
      </c>
      <c r="P153" s="57">
        <f t="shared" si="10"/>
        <v>0</v>
      </c>
    </row>
    <row r="154" spans="9:16" ht="15" customHeight="1" x14ac:dyDescent="0.35">
      <c r="I154" s="52">
        <v>123</v>
      </c>
      <c r="J154" s="53">
        <v>46145</v>
      </c>
      <c r="K154" s="54">
        <f t="shared" si="6"/>
        <v>5</v>
      </c>
      <c r="L154" s="55">
        <f t="shared" si="7"/>
        <v>1</v>
      </c>
      <c r="M154" s="56">
        <f t="shared" si="8"/>
        <v>0</v>
      </c>
      <c r="N154" s="54">
        <f t="shared" si="9"/>
        <v>3</v>
      </c>
      <c r="O154" s="52">
        <v>0</v>
      </c>
      <c r="P154" s="57">
        <f t="shared" si="10"/>
        <v>0</v>
      </c>
    </row>
    <row r="155" spans="9:16" ht="15" customHeight="1" x14ac:dyDescent="0.35">
      <c r="I155" s="52">
        <v>124</v>
      </c>
      <c r="J155" s="53">
        <v>46146</v>
      </c>
      <c r="K155" s="54">
        <f t="shared" si="6"/>
        <v>5</v>
      </c>
      <c r="L155" s="55">
        <f t="shared" si="7"/>
        <v>1</v>
      </c>
      <c r="M155" s="56">
        <f t="shared" si="8"/>
        <v>0</v>
      </c>
      <c r="N155" s="54">
        <f t="shared" si="9"/>
        <v>4</v>
      </c>
      <c r="O155" s="52">
        <v>0</v>
      </c>
      <c r="P155" s="57">
        <f t="shared" si="10"/>
        <v>0</v>
      </c>
    </row>
    <row r="156" spans="9:16" ht="15" customHeight="1" x14ac:dyDescent="0.35">
      <c r="I156" s="52">
        <v>125</v>
      </c>
      <c r="J156" s="53">
        <v>46147</v>
      </c>
      <c r="K156" s="54">
        <f t="shared" si="6"/>
        <v>5</v>
      </c>
      <c r="L156" s="55">
        <f t="shared" si="7"/>
        <v>1</v>
      </c>
      <c r="M156" s="56">
        <f t="shared" si="8"/>
        <v>0</v>
      </c>
      <c r="N156" s="54">
        <f t="shared" si="9"/>
        <v>5</v>
      </c>
      <c r="O156" s="52">
        <v>0</v>
      </c>
      <c r="P156" s="57">
        <f t="shared" si="10"/>
        <v>0</v>
      </c>
    </row>
    <row r="157" spans="9:16" ht="15" customHeight="1" x14ac:dyDescent="0.35">
      <c r="I157" s="52">
        <v>126</v>
      </c>
      <c r="J157" s="53">
        <v>46148</v>
      </c>
      <c r="K157" s="54">
        <f t="shared" si="6"/>
        <v>5</v>
      </c>
      <c r="L157" s="55">
        <f t="shared" si="7"/>
        <v>1</v>
      </c>
      <c r="M157" s="56">
        <f t="shared" si="8"/>
        <v>0</v>
      </c>
      <c r="N157" s="54">
        <f t="shared" si="9"/>
        <v>6</v>
      </c>
      <c r="O157" s="52">
        <v>0</v>
      </c>
      <c r="P157" s="57">
        <f t="shared" si="10"/>
        <v>0</v>
      </c>
    </row>
    <row r="158" spans="9:16" ht="15" customHeight="1" x14ac:dyDescent="0.35">
      <c r="I158" s="52">
        <v>127</v>
      </c>
      <c r="J158" s="53">
        <v>46149</v>
      </c>
      <c r="K158" s="54">
        <f t="shared" si="6"/>
        <v>5</v>
      </c>
      <c r="L158" s="55">
        <f t="shared" si="7"/>
        <v>1</v>
      </c>
      <c r="M158" s="56">
        <f t="shared" si="8"/>
        <v>0</v>
      </c>
      <c r="N158" s="54">
        <f t="shared" si="9"/>
        <v>7</v>
      </c>
      <c r="O158" s="52">
        <v>0</v>
      </c>
      <c r="P158" s="57">
        <f t="shared" si="10"/>
        <v>0</v>
      </c>
    </row>
    <row r="159" spans="9:16" ht="15" customHeight="1" x14ac:dyDescent="0.35">
      <c r="I159" s="52">
        <v>128</v>
      </c>
      <c r="J159" s="53">
        <v>46150</v>
      </c>
      <c r="K159" s="54">
        <f t="shared" si="6"/>
        <v>5</v>
      </c>
      <c r="L159" s="55">
        <f t="shared" si="7"/>
        <v>1</v>
      </c>
      <c r="M159" s="56">
        <f t="shared" si="8"/>
        <v>0</v>
      </c>
      <c r="N159" s="54">
        <f t="shared" si="9"/>
        <v>8</v>
      </c>
      <c r="O159" s="52">
        <v>0</v>
      </c>
      <c r="P159" s="57">
        <f t="shared" si="10"/>
        <v>0</v>
      </c>
    </row>
    <row r="160" spans="9:16" ht="15" customHeight="1" x14ac:dyDescent="0.35">
      <c r="I160" s="52">
        <v>129</v>
      </c>
      <c r="J160" s="53">
        <v>46151</v>
      </c>
      <c r="K160" s="54">
        <f t="shared" ref="K160:K223" si="11">MONTH(J160)</f>
        <v>5</v>
      </c>
      <c r="L160" s="55">
        <f t="shared" ref="L160:L223" si="12">INDEX($C$15:$C$26,K160)</f>
        <v>1</v>
      </c>
      <c r="M160" s="56">
        <f t="shared" ref="M160:M223" si="13">INDEX($D$15:$D$26,K160)</f>
        <v>0</v>
      </c>
      <c r="N160" s="54">
        <f t="shared" ref="N160:N223" si="14">DAY(J160)</f>
        <v>9</v>
      </c>
      <c r="O160" s="52">
        <v>0</v>
      </c>
      <c r="P160" s="57">
        <f t="shared" ref="P160:P223" si="15">IF(O160=1,IF(M160&gt;0,L160/M160,0),0)</f>
        <v>0</v>
      </c>
    </row>
    <row r="161" spans="9:16" ht="15" customHeight="1" x14ac:dyDescent="0.35">
      <c r="I161" s="52">
        <v>130</v>
      </c>
      <c r="J161" s="53">
        <v>46152</v>
      </c>
      <c r="K161" s="54">
        <f t="shared" si="11"/>
        <v>5</v>
      </c>
      <c r="L161" s="55">
        <f t="shared" si="12"/>
        <v>1</v>
      </c>
      <c r="M161" s="56">
        <f t="shared" si="13"/>
        <v>0</v>
      </c>
      <c r="N161" s="54">
        <f t="shared" si="14"/>
        <v>10</v>
      </c>
      <c r="O161" s="52">
        <v>0</v>
      </c>
      <c r="P161" s="57">
        <f t="shared" si="15"/>
        <v>0</v>
      </c>
    </row>
    <row r="162" spans="9:16" ht="15" customHeight="1" x14ac:dyDescent="0.35">
      <c r="I162" s="52">
        <v>131</v>
      </c>
      <c r="J162" s="53">
        <v>46153</v>
      </c>
      <c r="K162" s="54">
        <f t="shared" si="11"/>
        <v>5</v>
      </c>
      <c r="L162" s="55">
        <f t="shared" si="12"/>
        <v>1</v>
      </c>
      <c r="M162" s="56">
        <f t="shared" si="13"/>
        <v>0</v>
      </c>
      <c r="N162" s="54">
        <f t="shared" si="14"/>
        <v>11</v>
      </c>
      <c r="O162" s="52">
        <v>0</v>
      </c>
      <c r="P162" s="57">
        <f t="shared" si="15"/>
        <v>0</v>
      </c>
    </row>
    <row r="163" spans="9:16" ht="15" customHeight="1" x14ac:dyDescent="0.35">
      <c r="I163" s="52">
        <v>132</v>
      </c>
      <c r="J163" s="53">
        <v>46154</v>
      </c>
      <c r="K163" s="54">
        <f t="shared" si="11"/>
        <v>5</v>
      </c>
      <c r="L163" s="55">
        <f t="shared" si="12"/>
        <v>1</v>
      </c>
      <c r="M163" s="56">
        <f t="shared" si="13"/>
        <v>0</v>
      </c>
      <c r="N163" s="54">
        <f t="shared" si="14"/>
        <v>12</v>
      </c>
      <c r="O163" s="52">
        <v>0</v>
      </c>
      <c r="P163" s="57">
        <f t="shared" si="15"/>
        <v>0</v>
      </c>
    </row>
    <row r="164" spans="9:16" ht="15" customHeight="1" x14ac:dyDescent="0.35">
      <c r="I164" s="52">
        <v>133</v>
      </c>
      <c r="J164" s="53">
        <v>46155</v>
      </c>
      <c r="K164" s="54">
        <f t="shared" si="11"/>
        <v>5</v>
      </c>
      <c r="L164" s="55">
        <f t="shared" si="12"/>
        <v>1</v>
      </c>
      <c r="M164" s="56">
        <f t="shared" si="13"/>
        <v>0</v>
      </c>
      <c r="N164" s="54">
        <f t="shared" si="14"/>
        <v>13</v>
      </c>
      <c r="O164" s="52">
        <v>0</v>
      </c>
      <c r="P164" s="57">
        <f t="shared" si="15"/>
        <v>0</v>
      </c>
    </row>
    <row r="165" spans="9:16" ht="15" customHeight="1" x14ac:dyDescent="0.35">
      <c r="I165" s="52">
        <v>134</v>
      </c>
      <c r="J165" s="53">
        <v>46156</v>
      </c>
      <c r="K165" s="54">
        <f t="shared" si="11"/>
        <v>5</v>
      </c>
      <c r="L165" s="55">
        <f t="shared" si="12"/>
        <v>1</v>
      </c>
      <c r="M165" s="56">
        <f t="shared" si="13"/>
        <v>0</v>
      </c>
      <c r="N165" s="54">
        <f t="shared" si="14"/>
        <v>14</v>
      </c>
      <c r="O165" s="52">
        <v>0</v>
      </c>
      <c r="P165" s="57">
        <f t="shared" si="15"/>
        <v>0</v>
      </c>
    </row>
    <row r="166" spans="9:16" ht="15" customHeight="1" x14ac:dyDescent="0.35">
      <c r="I166" s="52">
        <v>135</v>
      </c>
      <c r="J166" s="53">
        <v>46157</v>
      </c>
      <c r="K166" s="54">
        <f t="shared" si="11"/>
        <v>5</v>
      </c>
      <c r="L166" s="55">
        <f t="shared" si="12"/>
        <v>1</v>
      </c>
      <c r="M166" s="56">
        <f t="shared" si="13"/>
        <v>0</v>
      </c>
      <c r="N166" s="54">
        <f t="shared" si="14"/>
        <v>15</v>
      </c>
      <c r="O166" s="52">
        <v>0</v>
      </c>
      <c r="P166" s="57">
        <f t="shared" si="15"/>
        <v>0</v>
      </c>
    </row>
    <row r="167" spans="9:16" ht="15" customHeight="1" x14ac:dyDescent="0.35">
      <c r="I167" s="52">
        <v>136</v>
      </c>
      <c r="J167" s="53">
        <v>46158</v>
      </c>
      <c r="K167" s="54">
        <f t="shared" si="11"/>
        <v>5</v>
      </c>
      <c r="L167" s="55">
        <f t="shared" si="12"/>
        <v>1</v>
      </c>
      <c r="M167" s="56">
        <f t="shared" si="13"/>
        <v>0</v>
      </c>
      <c r="N167" s="54">
        <f t="shared" si="14"/>
        <v>16</v>
      </c>
      <c r="O167" s="52">
        <v>0</v>
      </c>
      <c r="P167" s="57">
        <f t="shared" si="15"/>
        <v>0</v>
      </c>
    </row>
    <row r="168" spans="9:16" ht="15" customHeight="1" x14ac:dyDescent="0.35">
      <c r="I168" s="52">
        <v>137</v>
      </c>
      <c r="J168" s="53">
        <v>46159</v>
      </c>
      <c r="K168" s="54">
        <f t="shared" si="11"/>
        <v>5</v>
      </c>
      <c r="L168" s="55">
        <f t="shared" si="12"/>
        <v>1</v>
      </c>
      <c r="M168" s="56">
        <f t="shared" si="13"/>
        <v>0</v>
      </c>
      <c r="N168" s="54">
        <f t="shared" si="14"/>
        <v>17</v>
      </c>
      <c r="O168" s="52">
        <v>0</v>
      </c>
      <c r="P168" s="57">
        <f t="shared" si="15"/>
        <v>0</v>
      </c>
    </row>
    <row r="169" spans="9:16" ht="15" customHeight="1" x14ac:dyDescent="0.35">
      <c r="I169" s="52">
        <v>138</v>
      </c>
      <c r="J169" s="53">
        <v>46160</v>
      </c>
      <c r="K169" s="54">
        <f t="shared" si="11"/>
        <v>5</v>
      </c>
      <c r="L169" s="55">
        <f t="shared" si="12"/>
        <v>1</v>
      </c>
      <c r="M169" s="56">
        <f t="shared" si="13"/>
        <v>0</v>
      </c>
      <c r="N169" s="54">
        <f t="shared" si="14"/>
        <v>18</v>
      </c>
      <c r="O169" s="52">
        <v>0</v>
      </c>
      <c r="P169" s="57">
        <f t="shared" si="15"/>
        <v>0</v>
      </c>
    </row>
    <row r="170" spans="9:16" ht="15" customHeight="1" x14ac:dyDescent="0.35">
      <c r="I170" s="52">
        <v>139</v>
      </c>
      <c r="J170" s="53">
        <v>46161</v>
      </c>
      <c r="K170" s="54">
        <f t="shared" si="11"/>
        <v>5</v>
      </c>
      <c r="L170" s="55">
        <f t="shared" si="12"/>
        <v>1</v>
      </c>
      <c r="M170" s="56">
        <f t="shared" si="13"/>
        <v>0</v>
      </c>
      <c r="N170" s="54">
        <f t="shared" si="14"/>
        <v>19</v>
      </c>
      <c r="O170" s="52">
        <v>0</v>
      </c>
      <c r="P170" s="57">
        <f t="shared" si="15"/>
        <v>0</v>
      </c>
    </row>
    <row r="171" spans="9:16" ht="15" customHeight="1" x14ac:dyDescent="0.35">
      <c r="I171" s="52">
        <v>140</v>
      </c>
      <c r="J171" s="53">
        <v>46162</v>
      </c>
      <c r="K171" s="54">
        <f t="shared" si="11"/>
        <v>5</v>
      </c>
      <c r="L171" s="55">
        <f t="shared" si="12"/>
        <v>1</v>
      </c>
      <c r="M171" s="56">
        <f t="shared" si="13"/>
        <v>0</v>
      </c>
      <c r="N171" s="54">
        <f t="shared" si="14"/>
        <v>20</v>
      </c>
      <c r="O171" s="52">
        <v>0</v>
      </c>
      <c r="P171" s="57">
        <f t="shared" si="15"/>
        <v>0</v>
      </c>
    </row>
    <row r="172" spans="9:16" ht="15" customHeight="1" x14ac:dyDescent="0.35">
      <c r="I172" s="52">
        <v>141</v>
      </c>
      <c r="J172" s="53">
        <v>46163</v>
      </c>
      <c r="K172" s="54">
        <f t="shared" si="11"/>
        <v>5</v>
      </c>
      <c r="L172" s="55">
        <f t="shared" si="12"/>
        <v>1</v>
      </c>
      <c r="M172" s="56">
        <f t="shared" si="13"/>
        <v>0</v>
      </c>
      <c r="N172" s="54">
        <f t="shared" si="14"/>
        <v>21</v>
      </c>
      <c r="O172" s="52">
        <v>0</v>
      </c>
      <c r="P172" s="57">
        <f t="shared" si="15"/>
        <v>0</v>
      </c>
    </row>
    <row r="173" spans="9:16" ht="15" customHeight="1" x14ac:dyDescent="0.35">
      <c r="I173" s="52">
        <v>142</v>
      </c>
      <c r="J173" s="53">
        <v>46164</v>
      </c>
      <c r="K173" s="54">
        <f t="shared" si="11"/>
        <v>5</v>
      </c>
      <c r="L173" s="55">
        <f t="shared" si="12"/>
        <v>1</v>
      </c>
      <c r="M173" s="56">
        <f t="shared" si="13"/>
        <v>0</v>
      </c>
      <c r="N173" s="54">
        <f t="shared" si="14"/>
        <v>22</v>
      </c>
      <c r="O173" s="52">
        <v>0</v>
      </c>
      <c r="P173" s="57">
        <f t="shared" si="15"/>
        <v>0</v>
      </c>
    </row>
    <row r="174" spans="9:16" ht="15" customHeight="1" x14ac:dyDescent="0.35">
      <c r="I174" s="52">
        <v>143</v>
      </c>
      <c r="J174" s="53">
        <v>46165</v>
      </c>
      <c r="K174" s="54">
        <f t="shared" si="11"/>
        <v>5</v>
      </c>
      <c r="L174" s="55">
        <f t="shared" si="12"/>
        <v>1</v>
      </c>
      <c r="M174" s="56">
        <f t="shared" si="13"/>
        <v>0</v>
      </c>
      <c r="N174" s="54">
        <f t="shared" si="14"/>
        <v>23</v>
      </c>
      <c r="O174" s="52">
        <v>0</v>
      </c>
      <c r="P174" s="57">
        <f t="shared" si="15"/>
        <v>0</v>
      </c>
    </row>
    <row r="175" spans="9:16" ht="15" customHeight="1" x14ac:dyDescent="0.35">
      <c r="I175" s="52">
        <v>144</v>
      </c>
      <c r="J175" s="53">
        <v>46166</v>
      </c>
      <c r="K175" s="54">
        <f t="shared" si="11"/>
        <v>5</v>
      </c>
      <c r="L175" s="55">
        <f t="shared" si="12"/>
        <v>1</v>
      </c>
      <c r="M175" s="56">
        <f t="shared" si="13"/>
        <v>0</v>
      </c>
      <c r="N175" s="54">
        <f t="shared" si="14"/>
        <v>24</v>
      </c>
      <c r="O175" s="52">
        <v>0</v>
      </c>
      <c r="P175" s="57">
        <f t="shared" si="15"/>
        <v>0</v>
      </c>
    </row>
    <row r="176" spans="9:16" ht="15" customHeight="1" x14ac:dyDescent="0.35">
      <c r="I176" s="52">
        <v>145</v>
      </c>
      <c r="J176" s="53">
        <v>46167</v>
      </c>
      <c r="K176" s="54">
        <f t="shared" si="11"/>
        <v>5</v>
      </c>
      <c r="L176" s="55">
        <f t="shared" si="12"/>
        <v>1</v>
      </c>
      <c r="M176" s="56">
        <f t="shared" si="13"/>
        <v>0</v>
      </c>
      <c r="N176" s="54">
        <f t="shared" si="14"/>
        <v>25</v>
      </c>
      <c r="O176" s="52">
        <v>0</v>
      </c>
      <c r="P176" s="57">
        <f t="shared" si="15"/>
        <v>0</v>
      </c>
    </row>
    <row r="177" spans="9:16" ht="15" customHeight="1" x14ac:dyDescent="0.35">
      <c r="I177" s="52">
        <v>146</v>
      </c>
      <c r="J177" s="53">
        <v>46168</v>
      </c>
      <c r="K177" s="54">
        <f t="shared" si="11"/>
        <v>5</v>
      </c>
      <c r="L177" s="55">
        <f t="shared" si="12"/>
        <v>1</v>
      </c>
      <c r="M177" s="56">
        <f t="shared" si="13"/>
        <v>0</v>
      </c>
      <c r="N177" s="54">
        <f t="shared" si="14"/>
        <v>26</v>
      </c>
      <c r="O177" s="52">
        <v>0</v>
      </c>
      <c r="P177" s="57">
        <f t="shared" si="15"/>
        <v>0</v>
      </c>
    </row>
    <row r="178" spans="9:16" ht="15" customHeight="1" x14ac:dyDescent="0.35">
      <c r="I178" s="52">
        <v>147</v>
      </c>
      <c r="J178" s="53">
        <v>46169</v>
      </c>
      <c r="K178" s="54">
        <f t="shared" si="11"/>
        <v>5</v>
      </c>
      <c r="L178" s="55">
        <f t="shared" si="12"/>
        <v>1</v>
      </c>
      <c r="M178" s="56">
        <f t="shared" si="13"/>
        <v>0</v>
      </c>
      <c r="N178" s="54">
        <f t="shared" si="14"/>
        <v>27</v>
      </c>
      <c r="O178" s="52">
        <v>0</v>
      </c>
      <c r="P178" s="57">
        <f t="shared" si="15"/>
        <v>0</v>
      </c>
    </row>
    <row r="179" spans="9:16" ht="15" customHeight="1" x14ac:dyDescent="0.35">
      <c r="I179" s="52">
        <v>148</v>
      </c>
      <c r="J179" s="53">
        <v>46170</v>
      </c>
      <c r="K179" s="54">
        <f t="shared" si="11"/>
        <v>5</v>
      </c>
      <c r="L179" s="55">
        <f t="shared" si="12"/>
        <v>1</v>
      </c>
      <c r="M179" s="56">
        <f t="shared" si="13"/>
        <v>0</v>
      </c>
      <c r="N179" s="54">
        <f t="shared" si="14"/>
        <v>28</v>
      </c>
      <c r="O179" s="52">
        <v>0</v>
      </c>
      <c r="P179" s="57">
        <f t="shared" si="15"/>
        <v>0</v>
      </c>
    </row>
    <row r="180" spans="9:16" ht="15" customHeight="1" x14ac:dyDescent="0.35">
      <c r="I180" s="52">
        <v>149</v>
      </c>
      <c r="J180" s="53">
        <v>46171</v>
      </c>
      <c r="K180" s="54">
        <f t="shared" si="11"/>
        <v>5</v>
      </c>
      <c r="L180" s="55">
        <f t="shared" si="12"/>
        <v>1</v>
      </c>
      <c r="M180" s="56">
        <f t="shared" si="13"/>
        <v>0</v>
      </c>
      <c r="N180" s="54">
        <f t="shared" si="14"/>
        <v>29</v>
      </c>
      <c r="O180" s="52">
        <v>0</v>
      </c>
      <c r="P180" s="57">
        <f t="shared" si="15"/>
        <v>0</v>
      </c>
    </row>
    <row r="181" spans="9:16" ht="15" customHeight="1" x14ac:dyDescent="0.35">
      <c r="I181" s="52">
        <v>150</v>
      </c>
      <c r="J181" s="53">
        <v>46172</v>
      </c>
      <c r="K181" s="54">
        <f t="shared" si="11"/>
        <v>5</v>
      </c>
      <c r="L181" s="55">
        <f t="shared" si="12"/>
        <v>1</v>
      </c>
      <c r="M181" s="56">
        <f t="shared" si="13"/>
        <v>0</v>
      </c>
      <c r="N181" s="54">
        <f t="shared" si="14"/>
        <v>30</v>
      </c>
      <c r="O181" s="52">
        <v>0</v>
      </c>
      <c r="P181" s="57">
        <f t="shared" si="15"/>
        <v>0</v>
      </c>
    </row>
    <row r="182" spans="9:16" ht="15" customHeight="1" x14ac:dyDescent="0.35">
      <c r="I182" s="52">
        <v>151</v>
      </c>
      <c r="J182" s="53">
        <v>46173</v>
      </c>
      <c r="K182" s="54">
        <f t="shared" si="11"/>
        <v>5</v>
      </c>
      <c r="L182" s="55">
        <f t="shared" si="12"/>
        <v>1</v>
      </c>
      <c r="M182" s="56">
        <f t="shared" si="13"/>
        <v>0</v>
      </c>
      <c r="N182" s="54">
        <f t="shared" si="14"/>
        <v>31</v>
      </c>
      <c r="O182" s="52">
        <v>0</v>
      </c>
      <c r="P182" s="57">
        <f t="shared" si="15"/>
        <v>0</v>
      </c>
    </row>
    <row r="183" spans="9:16" ht="15" customHeight="1" x14ac:dyDescent="0.35">
      <c r="I183" s="52">
        <v>152</v>
      </c>
      <c r="J183" s="53">
        <v>46174</v>
      </c>
      <c r="K183" s="54">
        <f t="shared" si="11"/>
        <v>6</v>
      </c>
      <c r="L183" s="55">
        <f t="shared" si="12"/>
        <v>3</v>
      </c>
      <c r="M183" s="56">
        <f t="shared" si="13"/>
        <v>2</v>
      </c>
      <c r="N183" s="54">
        <f t="shared" si="14"/>
        <v>1</v>
      </c>
      <c r="O183" s="52">
        <v>0</v>
      </c>
      <c r="P183" s="57">
        <f t="shared" si="15"/>
        <v>0</v>
      </c>
    </row>
    <row r="184" spans="9:16" ht="15" customHeight="1" x14ac:dyDescent="0.35">
      <c r="I184" s="52">
        <v>153</v>
      </c>
      <c r="J184" s="53">
        <v>46175</v>
      </c>
      <c r="K184" s="54">
        <f t="shared" si="11"/>
        <v>6</v>
      </c>
      <c r="L184" s="55">
        <f t="shared" si="12"/>
        <v>3</v>
      </c>
      <c r="M184" s="56">
        <f t="shared" si="13"/>
        <v>2</v>
      </c>
      <c r="N184" s="54">
        <f t="shared" si="14"/>
        <v>2</v>
      </c>
      <c r="O184" s="52">
        <v>0</v>
      </c>
      <c r="P184" s="57">
        <f t="shared" si="15"/>
        <v>0</v>
      </c>
    </row>
    <row r="185" spans="9:16" ht="15" customHeight="1" x14ac:dyDescent="0.35">
      <c r="I185" s="52">
        <v>154</v>
      </c>
      <c r="J185" s="53">
        <v>46176</v>
      </c>
      <c r="K185" s="54">
        <f t="shared" si="11"/>
        <v>6</v>
      </c>
      <c r="L185" s="55">
        <f t="shared" si="12"/>
        <v>3</v>
      </c>
      <c r="M185" s="56">
        <f t="shared" si="13"/>
        <v>2</v>
      </c>
      <c r="N185" s="54">
        <f t="shared" si="14"/>
        <v>3</v>
      </c>
      <c r="O185" s="52">
        <v>0</v>
      </c>
      <c r="P185" s="57">
        <f t="shared" si="15"/>
        <v>0</v>
      </c>
    </row>
    <row r="186" spans="9:16" ht="15" customHeight="1" x14ac:dyDescent="0.35">
      <c r="I186" s="52">
        <v>155</v>
      </c>
      <c r="J186" s="53">
        <v>46177</v>
      </c>
      <c r="K186" s="54">
        <f t="shared" si="11"/>
        <v>6</v>
      </c>
      <c r="L186" s="55">
        <f t="shared" si="12"/>
        <v>3</v>
      </c>
      <c r="M186" s="56">
        <f t="shared" si="13"/>
        <v>2</v>
      </c>
      <c r="N186" s="54">
        <f t="shared" si="14"/>
        <v>4</v>
      </c>
      <c r="O186" s="52">
        <v>0</v>
      </c>
      <c r="P186" s="57">
        <f t="shared" si="15"/>
        <v>0</v>
      </c>
    </row>
    <row r="187" spans="9:16" ht="15" customHeight="1" x14ac:dyDescent="0.35">
      <c r="I187" s="52">
        <v>156</v>
      </c>
      <c r="J187" s="53">
        <v>46178</v>
      </c>
      <c r="K187" s="54">
        <f t="shared" si="11"/>
        <v>6</v>
      </c>
      <c r="L187" s="55">
        <f t="shared" si="12"/>
        <v>3</v>
      </c>
      <c r="M187" s="56">
        <f t="shared" si="13"/>
        <v>2</v>
      </c>
      <c r="N187" s="54">
        <f t="shared" si="14"/>
        <v>5</v>
      </c>
      <c r="O187" s="52">
        <v>0</v>
      </c>
      <c r="P187" s="57">
        <f t="shared" si="15"/>
        <v>0</v>
      </c>
    </row>
    <row r="188" spans="9:16" ht="15" customHeight="1" x14ac:dyDescent="0.35">
      <c r="I188" s="52">
        <v>157</v>
      </c>
      <c r="J188" s="53">
        <v>46179</v>
      </c>
      <c r="K188" s="54">
        <f t="shared" si="11"/>
        <v>6</v>
      </c>
      <c r="L188" s="55">
        <f t="shared" si="12"/>
        <v>3</v>
      </c>
      <c r="M188" s="56">
        <f t="shared" si="13"/>
        <v>2</v>
      </c>
      <c r="N188" s="54">
        <f t="shared" si="14"/>
        <v>6</v>
      </c>
      <c r="O188" s="52">
        <v>0</v>
      </c>
      <c r="P188" s="57">
        <f t="shared" si="15"/>
        <v>0</v>
      </c>
    </row>
    <row r="189" spans="9:16" ht="15" customHeight="1" x14ac:dyDescent="0.35">
      <c r="I189" s="52">
        <v>158</v>
      </c>
      <c r="J189" s="53">
        <v>46180</v>
      </c>
      <c r="K189" s="54">
        <f t="shared" si="11"/>
        <v>6</v>
      </c>
      <c r="L189" s="55">
        <f t="shared" si="12"/>
        <v>3</v>
      </c>
      <c r="M189" s="56">
        <f t="shared" si="13"/>
        <v>2</v>
      </c>
      <c r="N189" s="54">
        <f t="shared" si="14"/>
        <v>7</v>
      </c>
      <c r="O189" s="52">
        <v>0</v>
      </c>
      <c r="P189" s="57">
        <f t="shared" si="15"/>
        <v>0</v>
      </c>
    </row>
    <row r="190" spans="9:16" ht="15" customHeight="1" x14ac:dyDescent="0.35">
      <c r="I190" s="52">
        <v>159</v>
      </c>
      <c r="J190" s="53">
        <v>46181</v>
      </c>
      <c r="K190" s="54">
        <f t="shared" si="11"/>
        <v>6</v>
      </c>
      <c r="L190" s="55">
        <f t="shared" si="12"/>
        <v>3</v>
      </c>
      <c r="M190" s="56">
        <f t="shared" si="13"/>
        <v>2</v>
      </c>
      <c r="N190" s="54">
        <f t="shared" si="14"/>
        <v>8</v>
      </c>
      <c r="O190" s="52">
        <v>0</v>
      </c>
      <c r="P190" s="57">
        <f t="shared" si="15"/>
        <v>0</v>
      </c>
    </row>
    <row r="191" spans="9:16" ht="15" customHeight="1" x14ac:dyDescent="0.35">
      <c r="I191" s="52">
        <v>160</v>
      </c>
      <c r="J191" s="53">
        <v>46182</v>
      </c>
      <c r="K191" s="54">
        <f t="shared" si="11"/>
        <v>6</v>
      </c>
      <c r="L191" s="55">
        <f t="shared" si="12"/>
        <v>3</v>
      </c>
      <c r="M191" s="56">
        <f t="shared" si="13"/>
        <v>2</v>
      </c>
      <c r="N191" s="54">
        <f t="shared" si="14"/>
        <v>9</v>
      </c>
      <c r="O191" s="52">
        <v>0</v>
      </c>
      <c r="P191" s="57">
        <f t="shared" si="15"/>
        <v>0</v>
      </c>
    </row>
    <row r="192" spans="9:16" ht="15" customHeight="1" x14ac:dyDescent="0.35">
      <c r="I192" s="52">
        <v>161</v>
      </c>
      <c r="J192" s="53">
        <v>46183</v>
      </c>
      <c r="K192" s="54">
        <f t="shared" si="11"/>
        <v>6</v>
      </c>
      <c r="L192" s="55">
        <f t="shared" si="12"/>
        <v>3</v>
      </c>
      <c r="M192" s="56">
        <f t="shared" si="13"/>
        <v>2</v>
      </c>
      <c r="N192" s="54">
        <f t="shared" si="14"/>
        <v>10</v>
      </c>
      <c r="O192" s="52">
        <v>1</v>
      </c>
      <c r="P192" s="58">
        <f t="shared" si="15"/>
        <v>1.5</v>
      </c>
    </row>
    <row r="193" spans="9:16" ht="15" customHeight="1" x14ac:dyDescent="0.35">
      <c r="I193" s="52">
        <v>162</v>
      </c>
      <c r="J193" s="53">
        <v>46184</v>
      </c>
      <c r="K193" s="54">
        <f t="shared" si="11"/>
        <v>6</v>
      </c>
      <c r="L193" s="55">
        <f t="shared" si="12"/>
        <v>3</v>
      </c>
      <c r="M193" s="56">
        <f t="shared" si="13"/>
        <v>2</v>
      </c>
      <c r="N193" s="54">
        <f t="shared" si="14"/>
        <v>11</v>
      </c>
      <c r="O193" s="52">
        <v>0</v>
      </c>
      <c r="P193" s="57">
        <f t="shared" si="15"/>
        <v>0</v>
      </c>
    </row>
    <row r="194" spans="9:16" ht="15" customHeight="1" x14ac:dyDescent="0.35">
      <c r="I194" s="52">
        <v>163</v>
      </c>
      <c r="J194" s="53">
        <v>46185</v>
      </c>
      <c r="K194" s="54">
        <f t="shared" si="11"/>
        <v>6</v>
      </c>
      <c r="L194" s="55">
        <f t="shared" si="12"/>
        <v>3</v>
      </c>
      <c r="M194" s="56">
        <f t="shared" si="13"/>
        <v>2</v>
      </c>
      <c r="N194" s="54">
        <f t="shared" si="14"/>
        <v>12</v>
      </c>
      <c r="O194" s="52">
        <v>0</v>
      </c>
      <c r="P194" s="57">
        <f t="shared" si="15"/>
        <v>0</v>
      </c>
    </row>
    <row r="195" spans="9:16" ht="15" customHeight="1" x14ac:dyDescent="0.35">
      <c r="I195" s="52">
        <v>164</v>
      </c>
      <c r="J195" s="53">
        <v>46186</v>
      </c>
      <c r="K195" s="54">
        <f t="shared" si="11"/>
        <v>6</v>
      </c>
      <c r="L195" s="55">
        <f t="shared" si="12"/>
        <v>3</v>
      </c>
      <c r="M195" s="56">
        <f t="shared" si="13"/>
        <v>2</v>
      </c>
      <c r="N195" s="54">
        <f t="shared" si="14"/>
        <v>13</v>
      </c>
      <c r="O195" s="52">
        <v>0</v>
      </c>
      <c r="P195" s="57">
        <f t="shared" si="15"/>
        <v>0</v>
      </c>
    </row>
    <row r="196" spans="9:16" ht="15" customHeight="1" x14ac:dyDescent="0.35">
      <c r="I196" s="52">
        <v>165</v>
      </c>
      <c r="J196" s="53">
        <v>46187</v>
      </c>
      <c r="K196" s="54">
        <f t="shared" si="11"/>
        <v>6</v>
      </c>
      <c r="L196" s="55">
        <f t="shared" si="12"/>
        <v>3</v>
      </c>
      <c r="M196" s="56">
        <f t="shared" si="13"/>
        <v>2</v>
      </c>
      <c r="N196" s="54">
        <f t="shared" si="14"/>
        <v>14</v>
      </c>
      <c r="O196" s="52">
        <v>0</v>
      </c>
      <c r="P196" s="57">
        <f t="shared" si="15"/>
        <v>0</v>
      </c>
    </row>
    <row r="197" spans="9:16" ht="15" customHeight="1" x14ac:dyDescent="0.35">
      <c r="I197" s="52">
        <v>166</v>
      </c>
      <c r="J197" s="53">
        <v>46188</v>
      </c>
      <c r="K197" s="54">
        <f t="shared" si="11"/>
        <v>6</v>
      </c>
      <c r="L197" s="55">
        <f t="shared" si="12"/>
        <v>3</v>
      </c>
      <c r="M197" s="56">
        <f t="shared" si="13"/>
        <v>2</v>
      </c>
      <c r="N197" s="54">
        <f t="shared" si="14"/>
        <v>15</v>
      </c>
      <c r="O197" s="52">
        <v>0</v>
      </c>
      <c r="P197" s="57">
        <f t="shared" si="15"/>
        <v>0</v>
      </c>
    </row>
    <row r="198" spans="9:16" ht="15" customHeight="1" x14ac:dyDescent="0.35">
      <c r="I198" s="52">
        <v>167</v>
      </c>
      <c r="J198" s="53">
        <v>46189</v>
      </c>
      <c r="K198" s="54">
        <f t="shared" si="11"/>
        <v>6</v>
      </c>
      <c r="L198" s="55">
        <f t="shared" si="12"/>
        <v>3</v>
      </c>
      <c r="M198" s="56">
        <f t="shared" si="13"/>
        <v>2</v>
      </c>
      <c r="N198" s="54">
        <f t="shared" si="14"/>
        <v>16</v>
      </c>
      <c r="O198" s="52">
        <v>0</v>
      </c>
      <c r="P198" s="57">
        <f t="shared" si="15"/>
        <v>0</v>
      </c>
    </row>
    <row r="199" spans="9:16" ht="15" customHeight="1" x14ac:dyDescent="0.35">
      <c r="I199" s="52">
        <v>168</v>
      </c>
      <c r="J199" s="53">
        <v>46190</v>
      </c>
      <c r="K199" s="54">
        <f t="shared" si="11"/>
        <v>6</v>
      </c>
      <c r="L199" s="55">
        <f t="shared" si="12"/>
        <v>3</v>
      </c>
      <c r="M199" s="56">
        <f t="shared" si="13"/>
        <v>2</v>
      </c>
      <c r="N199" s="54">
        <f t="shared" si="14"/>
        <v>17</v>
      </c>
      <c r="O199" s="52">
        <v>0</v>
      </c>
      <c r="P199" s="57">
        <f t="shared" si="15"/>
        <v>0</v>
      </c>
    </row>
    <row r="200" spans="9:16" ht="15" customHeight="1" x14ac:dyDescent="0.35">
      <c r="I200" s="52">
        <v>169</v>
      </c>
      <c r="J200" s="53">
        <v>46191</v>
      </c>
      <c r="K200" s="54">
        <f t="shared" si="11"/>
        <v>6</v>
      </c>
      <c r="L200" s="55">
        <f t="shared" si="12"/>
        <v>3</v>
      </c>
      <c r="M200" s="56">
        <f t="shared" si="13"/>
        <v>2</v>
      </c>
      <c r="N200" s="54">
        <f t="shared" si="14"/>
        <v>18</v>
      </c>
      <c r="O200" s="52">
        <v>0</v>
      </c>
      <c r="P200" s="57">
        <f t="shared" si="15"/>
        <v>0</v>
      </c>
    </row>
    <row r="201" spans="9:16" ht="15" customHeight="1" x14ac:dyDescent="0.35">
      <c r="I201" s="52">
        <v>170</v>
      </c>
      <c r="J201" s="53">
        <v>46192</v>
      </c>
      <c r="K201" s="54">
        <f t="shared" si="11"/>
        <v>6</v>
      </c>
      <c r="L201" s="55">
        <f t="shared" si="12"/>
        <v>3</v>
      </c>
      <c r="M201" s="56">
        <f t="shared" si="13"/>
        <v>2</v>
      </c>
      <c r="N201" s="54">
        <f t="shared" si="14"/>
        <v>19</v>
      </c>
      <c r="O201" s="52">
        <v>0</v>
      </c>
      <c r="P201" s="57">
        <f t="shared" si="15"/>
        <v>0</v>
      </c>
    </row>
    <row r="202" spans="9:16" ht="15" customHeight="1" x14ac:dyDescent="0.35">
      <c r="I202" s="52">
        <v>171</v>
      </c>
      <c r="J202" s="53">
        <v>46193</v>
      </c>
      <c r="K202" s="54">
        <f t="shared" si="11"/>
        <v>6</v>
      </c>
      <c r="L202" s="55">
        <f t="shared" si="12"/>
        <v>3</v>
      </c>
      <c r="M202" s="56">
        <f t="shared" si="13"/>
        <v>2</v>
      </c>
      <c r="N202" s="54">
        <f t="shared" si="14"/>
        <v>20</v>
      </c>
      <c r="O202" s="52">
        <v>1</v>
      </c>
      <c r="P202" s="58">
        <f t="shared" si="15"/>
        <v>1.5</v>
      </c>
    </row>
    <row r="203" spans="9:16" ht="15" customHeight="1" x14ac:dyDescent="0.35">
      <c r="I203" s="52">
        <v>172</v>
      </c>
      <c r="J203" s="53">
        <v>46194</v>
      </c>
      <c r="K203" s="54">
        <f t="shared" si="11"/>
        <v>6</v>
      </c>
      <c r="L203" s="55">
        <f t="shared" si="12"/>
        <v>3</v>
      </c>
      <c r="M203" s="56">
        <f t="shared" si="13"/>
        <v>2</v>
      </c>
      <c r="N203" s="54">
        <f t="shared" si="14"/>
        <v>21</v>
      </c>
      <c r="O203" s="52">
        <v>0</v>
      </c>
      <c r="P203" s="57">
        <f t="shared" si="15"/>
        <v>0</v>
      </c>
    </row>
    <row r="204" spans="9:16" ht="15" customHeight="1" x14ac:dyDescent="0.35">
      <c r="I204" s="52">
        <v>173</v>
      </c>
      <c r="J204" s="53">
        <v>46195</v>
      </c>
      <c r="K204" s="54">
        <f t="shared" si="11"/>
        <v>6</v>
      </c>
      <c r="L204" s="55">
        <f t="shared" si="12"/>
        <v>3</v>
      </c>
      <c r="M204" s="56">
        <f t="shared" si="13"/>
        <v>2</v>
      </c>
      <c r="N204" s="54">
        <f t="shared" si="14"/>
        <v>22</v>
      </c>
      <c r="O204" s="52">
        <v>0</v>
      </c>
      <c r="P204" s="57">
        <f t="shared" si="15"/>
        <v>0</v>
      </c>
    </row>
    <row r="205" spans="9:16" ht="15" customHeight="1" x14ac:dyDescent="0.35">
      <c r="I205" s="52">
        <v>174</v>
      </c>
      <c r="J205" s="53">
        <v>46196</v>
      </c>
      <c r="K205" s="54">
        <f t="shared" si="11"/>
        <v>6</v>
      </c>
      <c r="L205" s="55">
        <f t="shared" si="12"/>
        <v>3</v>
      </c>
      <c r="M205" s="56">
        <f t="shared" si="13"/>
        <v>2</v>
      </c>
      <c r="N205" s="54">
        <f t="shared" si="14"/>
        <v>23</v>
      </c>
      <c r="O205" s="52">
        <v>0</v>
      </c>
      <c r="P205" s="57">
        <f t="shared" si="15"/>
        <v>0</v>
      </c>
    </row>
    <row r="206" spans="9:16" ht="15" customHeight="1" x14ac:dyDescent="0.35">
      <c r="I206" s="52">
        <v>175</v>
      </c>
      <c r="J206" s="53">
        <v>46197</v>
      </c>
      <c r="K206" s="54">
        <f t="shared" si="11"/>
        <v>6</v>
      </c>
      <c r="L206" s="55">
        <f t="shared" si="12"/>
        <v>3</v>
      </c>
      <c r="M206" s="56">
        <f t="shared" si="13"/>
        <v>2</v>
      </c>
      <c r="N206" s="54">
        <f t="shared" si="14"/>
        <v>24</v>
      </c>
      <c r="O206" s="52">
        <v>0</v>
      </c>
      <c r="P206" s="57">
        <f t="shared" si="15"/>
        <v>0</v>
      </c>
    </row>
    <row r="207" spans="9:16" ht="15" customHeight="1" x14ac:dyDescent="0.35">
      <c r="I207" s="52">
        <v>176</v>
      </c>
      <c r="J207" s="53">
        <v>46198</v>
      </c>
      <c r="K207" s="54">
        <f t="shared" si="11"/>
        <v>6</v>
      </c>
      <c r="L207" s="55">
        <f t="shared" si="12"/>
        <v>3</v>
      </c>
      <c r="M207" s="56">
        <f t="shared" si="13"/>
        <v>2</v>
      </c>
      <c r="N207" s="54">
        <f t="shared" si="14"/>
        <v>25</v>
      </c>
      <c r="O207" s="52">
        <v>0</v>
      </c>
      <c r="P207" s="57">
        <f t="shared" si="15"/>
        <v>0</v>
      </c>
    </row>
    <row r="208" spans="9:16" ht="15" customHeight="1" x14ac:dyDescent="0.35">
      <c r="I208" s="52">
        <v>177</v>
      </c>
      <c r="J208" s="53">
        <v>46199</v>
      </c>
      <c r="K208" s="54">
        <f t="shared" si="11"/>
        <v>6</v>
      </c>
      <c r="L208" s="55">
        <f t="shared" si="12"/>
        <v>3</v>
      </c>
      <c r="M208" s="56">
        <f t="shared" si="13"/>
        <v>2</v>
      </c>
      <c r="N208" s="54">
        <f t="shared" si="14"/>
        <v>26</v>
      </c>
      <c r="O208" s="52">
        <v>0</v>
      </c>
      <c r="P208" s="57">
        <f t="shared" si="15"/>
        <v>0</v>
      </c>
    </row>
    <row r="209" spans="9:16" ht="15" customHeight="1" x14ac:dyDescent="0.35">
      <c r="I209" s="52">
        <v>178</v>
      </c>
      <c r="J209" s="53">
        <v>46200</v>
      </c>
      <c r="K209" s="54">
        <f t="shared" si="11"/>
        <v>6</v>
      </c>
      <c r="L209" s="55">
        <f t="shared" si="12"/>
        <v>3</v>
      </c>
      <c r="M209" s="56">
        <f t="shared" si="13"/>
        <v>2</v>
      </c>
      <c r="N209" s="54">
        <f t="shared" si="14"/>
        <v>27</v>
      </c>
      <c r="O209" s="52">
        <v>0</v>
      </c>
      <c r="P209" s="57">
        <f t="shared" si="15"/>
        <v>0</v>
      </c>
    </row>
    <row r="210" spans="9:16" ht="15" customHeight="1" x14ac:dyDescent="0.35">
      <c r="I210" s="52">
        <v>179</v>
      </c>
      <c r="J210" s="53">
        <v>46201</v>
      </c>
      <c r="K210" s="54">
        <f t="shared" si="11"/>
        <v>6</v>
      </c>
      <c r="L210" s="55">
        <f t="shared" si="12"/>
        <v>3</v>
      </c>
      <c r="M210" s="56">
        <f t="shared" si="13"/>
        <v>2</v>
      </c>
      <c r="N210" s="54">
        <f t="shared" si="14"/>
        <v>28</v>
      </c>
      <c r="O210" s="52">
        <v>0</v>
      </c>
      <c r="P210" s="57">
        <f t="shared" si="15"/>
        <v>0</v>
      </c>
    </row>
    <row r="211" spans="9:16" ht="15" customHeight="1" x14ac:dyDescent="0.35">
      <c r="I211" s="52">
        <v>180</v>
      </c>
      <c r="J211" s="53">
        <v>46202</v>
      </c>
      <c r="K211" s="54">
        <f t="shared" si="11"/>
        <v>6</v>
      </c>
      <c r="L211" s="55">
        <f t="shared" si="12"/>
        <v>3</v>
      </c>
      <c r="M211" s="56">
        <f t="shared" si="13"/>
        <v>2</v>
      </c>
      <c r="N211" s="54">
        <f t="shared" si="14"/>
        <v>29</v>
      </c>
      <c r="O211" s="52">
        <v>0</v>
      </c>
      <c r="P211" s="57">
        <f t="shared" si="15"/>
        <v>0</v>
      </c>
    </row>
    <row r="212" spans="9:16" ht="15" customHeight="1" x14ac:dyDescent="0.35">
      <c r="I212" s="52">
        <v>181</v>
      </c>
      <c r="J212" s="53">
        <v>46203</v>
      </c>
      <c r="K212" s="54">
        <f t="shared" si="11"/>
        <v>6</v>
      </c>
      <c r="L212" s="55">
        <f t="shared" si="12"/>
        <v>3</v>
      </c>
      <c r="M212" s="56">
        <f t="shared" si="13"/>
        <v>2</v>
      </c>
      <c r="N212" s="54">
        <f t="shared" si="14"/>
        <v>30</v>
      </c>
      <c r="O212" s="52">
        <v>0</v>
      </c>
      <c r="P212" s="57">
        <f t="shared" si="15"/>
        <v>0</v>
      </c>
    </row>
    <row r="213" spans="9:16" ht="15" customHeight="1" x14ac:dyDescent="0.35">
      <c r="I213" s="52">
        <v>182</v>
      </c>
      <c r="J213" s="53">
        <v>46204</v>
      </c>
      <c r="K213" s="54">
        <f t="shared" si="11"/>
        <v>7</v>
      </c>
      <c r="L213" s="55">
        <f t="shared" si="12"/>
        <v>65</v>
      </c>
      <c r="M213" s="56">
        <f t="shared" si="13"/>
        <v>6</v>
      </c>
      <c r="N213" s="54">
        <f t="shared" si="14"/>
        <v>1</v>
      </c>
      <c r="O213" s="52">
        <v>0</v>
      </c>
      <c r="P213" s="57">
        <f t="shared" si="15"/>
        <v>0</v>
      </c>
    </row>
    <row r="214" spans="9:16" ht="15" customHeight="1" x14ac:dyDescent="0.35">
      <c r="I214" s="52">
        <v>183</v>
      </c>
      <c r="J214" s="53">
        <v>46205</v>
      </c>
      <c r="K214" s="54">
        <f t="shared" si="11"/>
        <v>7</v>
      </c>
      <c r="L214" s="55">
        <f t="shared" si="12"/>
        <v>65</v>
      </c>
      <c r="M214" s="56">
        <f t="shared" si="13"/>
        <v>6</v>
      </c>
      <c r="N214" s="54">
        <f t="shared" si="14"/>
        <v>2</v>
      </c>
      <c r="O214" s="52">
        <v>0</v>
      </c>
      <c r="P214" s="57">
        <f t="shared" si="15"/>
        <v>0</v>
      </c>
    </row>
    <row r="215" spans="9:16" ht="15" customHeight="1" x14ac:dyDescent="0.35">
      <c r="I215" s="52">
        <v>184</v>
      </c>
      <c r="J215" s="53">
        <v>46206</v>
      </c>
      <c r="K215" s="54">
        <f t="shared" si="11"/>
        <v>7</v>
      </c>
      <c r="L215" s="55">
        <f t="shared" si="12"/>
        <v>65</v>
      </c>
      <c r="M215" s="56">
        <f t="shared" si="13"/>
        <v>6</v>
      </c>
      <c r="N215" s="54">
        <f t="shared" si="14"/>
        <v>3</v>
      </c>
      <c r="O215" s="52">
        <v>0</v>
      </c>
      <c r="P215" s="57">
        <f t="shared" si="15"/>
        <v>0</v>
      </c>
    </row>
    <row r="216" spans="9:16" ht="15" customHeight="1" x14ac:dyDescent="0.35">
      <c r="I216" s="52">
        <v>185</v>
      </c>
      <c r="J216" s="53">
        <v>46207</v>
      </c>
      <c r="K216" s="54">
        <f t="shared" si="11"/>
        <v>7</v>
      </c>
      <c r="L216" s="55">
        <f t="shared" si="12"/>
        <v>65</v>
      </c>
      <c r="M216" s="56">
        <f t="shared" si="13"/>
        <v>6</v>
      </c>
      <c r="N216" s="54">
        <f t="shared" si="14"/>
        <v>4</v>
      </c>
      <c r="O216" s="52">
        <v>1</v>
      </c>
      <c r="P216" s="58">
        <f t="shared" si="15"/>
        <v>10.833333333333334</v>
      </c>
    </row>
    <row r="217" spans="9:16" ht="15" customHeight="1" x14ac:dyDescent="0.35">
      <c r="I217" s="52">
        <v>186</v>
      </c>
      <c r="J217" s="53">
        <v>46208</v>
      </c>
      <c r="K217" s="54">
        <f t="shared" si="11"/>
        <v>7</v>
      </c>
      <c r="L217" s="55">
        <f t="shared" si="12"/>
        <v>65</v>
      </c>
      <c r="M217" s="56">
        <f t="shared" si="13"/>
        <v>6</v>
      </c>
      <c r="N217" s="54">
        <f t="shared" si="14"/>
        <v>5</v>
      </c>
      <c r="O217" s="52">
        <v>0</v>
      </c>
      <c r="P217" s="57">
        <f t="shared" si="15"/>
        <v>0</v>
      </c>
    </row>
    <row r="218" spans="9:16" ht="15" customHeight="1" x14ac:dyDescent="0.35">
      <c r="I218" s="52">
        <v>187</v>
      </c>
      <c r="J218" s="53">
        <v>46209</v>
      </c>
      <c r="K218" s="54">
        <f t="shared" si="11"/>
        <v>7</v>
      </c>
      <c r="L218" s="55">
        <f t="shared" si="12"/>
        <v>65</v>
      </c>
      <c r="M218" s="56">
        <f t="shared" si="13"/>
        <v>6</v>
      </c>
      <c r="N218" s="54">
        <f t="shared" si="14"/>
        <v>6</v>
      </c>
      <c r="O218" s="52">
        <v>0</v>
      </c>
      <c r="P218" s="57">
        <f t="shared" si="15"/>
        <v>0</v>
      </c>
    </row>
    <row r="219" spans="9:16" ht="15" customHeight="1" x14ac:dyDescent="0.35">
      <c r="I219" s="52">
        <v>188</v>
      </c>
      <c r="J219" s="53">
        <v>46210</v>
      </c>
      <c r="K219" s="54">
        <f t="shared" si="11"/>
        <v>7</v>
      </c>
      <c r="L219" s="55">
        <f t="shared" si="12"/>
        <v>65</v>
      </c>
      <c r="M219" s="56">
        <f t="shared" si="13"/>
        <v>6</v>
      </c>
      <c r="N219" s="54">
        <f t="shared" si="14"/>
        <v>7</v>
      </c>
      <c r="O219" s="52">
        <v>0</v>
      </c>
      <c r="P219" s="57">
        <f t="shared" si="15"/>
        <v>0</v>
      </c>
    </row>
    <row r="220" spans="9:16" ht="15" customHeight="1" x14ac:dyDescent="0.35">
      <c r="I220" s="52">
        <v>189</v>
      </c>
      <c r="J220" s="53">
        <v>46211</v>
      </c>
      <c r="K220" s="54">
        <f t="shared" si="11"/>
        <v>7</v>
      </c>
      <c r="L220" s="55">
        <f t="shared" si="12"/>
        <v>65</v>
      </c>
      <c r="M220" s="56">
        <f t="shared" si="13"/>
        <v>6</v>
      </c>
      <c r="N220" s="54">
        <f t="shared" si="14"/>
        <v>8</v>
      </c>
      <c r="O220" s="52">
        <v>0</v>
      </c>
      <c r="P220" s="57">
        <f t="shared" si="15"/>
        <v>0</v>
      </c>
    </row>
    <row r="221" spans="9:16" ht="15" customHeight="1" x14ac:dyDescent="0.35">
      <c r="I221" s="52">
        <v>190</v>
      </c>
      <c r="J221" s="53">
        <v>46212</v>
      </c>
      <c r="K221" s="54">
        <f t="shared" si="11"/>
        <v>7</v>
      </c>
      <c r="L221" s="55">
        <f t="shared" si="12"/>
        <v>65</v>
      </c>
      <c r="M221" s="56">
        <f t="shared" si="13"/>
        <v>6</v>
      </c>
      <c r="N221" s="54">
        <f t="shared" si="14"/>
        <v>9</v>
      </c>
      <c r="O221" s="52">
        <v>1</v>
      </c>
      <c r="P221" s="58">
        <f t="shared" si="15"/>
        <v>10.833333333333334</v>
      </c>
    </row>
    <row r="222" spans="9:16" ht="15" customHeight="1" x14ac:dyDescent="0.35">
      <c r="I222" s="52">
        <v>191</v>
      </c>
      <c r="J222" s="53">
        <v>46213</v>
      </c>
      <c r="K222" s="54">
        <f t="shared" si="11"/>
        <v>7</v>
      </c>
      <c r="L222" s="55">
        <f t="shared" si="12"/>
        <v>65</v>
      </c>
      <c r="M222" s="56">
        <f t="shared" si="13"/>
        <v>6</v>
      </c>
      <c r="N222" s="54">
        <f t="shared" si="14"/>
        <v>10</v>
      </c>
      <c r="O222" s="52">
        <v>0</v>
      </c>
      <c r="P222" s="57">
        <f t="shared" si="15"/>
        <v>0</v>
      </c>
    </row>
    <row r="223" spans="9:16" ht="15" customHeight="1" x14ac:dyDescent="0.35">
      <c r="I223" s="52">
        <v>192</v>
      </c>
      <c r="J223" s="53">
        <v>46214</v>
      </c>
      <c r="K223" s="54">
        <f t="shared" si="11"/>
        <v>7</v>
      </c>
      <c r="L223" s="55">
        <f t="shared" si="12"/>
        <v>65</v>
      </c>
      <c r="M223" s="56">
        <f t="shared" si="13"/>
        <v>6</v>
      </c>
      <c r="N223" s="54">
        <f t="shared" si="14"/>
        <v>11</v>
      </c>
      <c r="O223" s="52">
        <v>0</v>
      </c>
      <c r="P223" s="57">
        <f t="shared" si="15"/>
        <v>0</v>
      </c>
    </row>
    <row r="224" spans="9:16" ht="15" customHeight="1" x14ac:dyDescent="0.35">
      <c r="I224" s="52">
        <v>193</v>
      </c>
      <c r="J224" s="53">
        <v>46215</v>
      </c>
      <c r="K224" s="54">
        <f t="shared" ref="K224:K287" si="16">MONTH(J224)</f>
        <v>7</v>
      </c>
      <c r="L224" s="55">
        <f t="shared" ref="L224:L287" si="17">INDEX($C$15:$C$26,K224)</f>
        <v>65</v>
      </c>
      <c r="M224" s="56">
        <f t="shared" ref="M224:M287" si="18">INDEX($D$15:$D$26,K224)</f>
        <v>6</v>
      </c>
      <c r="N224" s="54">
        <f t="shared" ref="N224:N287" si="19">DAY(J224)</f>
        <v>12</v>
      </c>
      <c r="O224" s="52">
        <v>0</v>
      </c>
      <c r="P224" s="57">
        <f t="shared" ref="P224:P287" si="20">IF(O224=1,IF(M224&gt;0,L224/M224,0),0)</f>
        <v>0</v>
      </c>
    </row>
    <row r="225" spans="9:16" ht="15" customHeight="1" x14ac:dyDescent="0.35">
      <c r="I225" s="52">
        <v>194</v>
      </c>
      <c r="J225" s="53">
        <v>46216</v>
      </c>
      <c r="K225" s="54">
        <f t="shared" si="16"/>
        <v>7</v>
      </c>
      <c r="L225" s="55">
        <f t="shared" si="17"/>
        <v>65</v>
      </c>
      <c r="M225" s="56">
        <f t="shared" si="18"/>
        <v>6</v>
      </c>
      <c r="N225" s="54">
        <f t="shared" si="19"/>
        <v>13</v>
      </c>
      <c r="O225" s="52">
        <v>1</v>
      </c>
      <c r="P225" s="58">
        <f t="shared" si="20"/>
        <v>10.833333333333334</v>
      </c>
    </row>
    <row r="226" spans="9:16" ht="15" customHeight="1" x14ac:dyDescent="0.35">
      <c r="I226" s="52">
        <v>195</v>
      </c>
      <c r="J226" s="53">
        <v>46217</v>
      </c>
      <c r="K226" s="54">
        <f t="shared" si="16"/>
        <v>7</v>
      </c>
      <c r="L226" s="55">
        <f t="shared" si="17"/>
        <v>65</v>
      </c>
      <c r="M226" s="56">
        <f t="shared" si="18"/>
        <v>6</v>
      </c>
      <c r="N226" s="54">
        <f t="shared" si="19"/>
        <v>14</v>
      </c>
      <c r="O226" s="52">
        <v>0</v>
      </c>
      <c r="P226" s="57">
        <f t="shared" si="20"/>
        <v>0</v>
      </c>
    </row>
    <row r="227" spans="9:16" ht="15" customHeight="1" x14ac:dyDescent="0.35">
      <c r="I227" s="52">
        <v>196</v>
      </c>
      <c r="J227" s="53">
        <v>46218</v>
      </c>
      <c r="K227" s="54">
        <f t="shared" si="16"/>
        <v>7</v>
      </c>
      <c r="L227" s="55">
        <f t="shared" si="17"/>
        <v>65</v>
      </c>
      <c r="M227" s="56">
        <f t="shared" si="18"/>
        <v>6</v>
      </c>
      <c r="N227" s="54">
        <f t="shared" si="19"/>
        <v>15</v>
      </c>
      <c r="O227" s="52">
        <v>0</v>
      </c>
      <c r="P227" s="57">
        <f t="shared" si="20"/>
        <v>0</v>
      </c>
    </row>
    <row r="228" spans="9:16" ht="15" customHeight="1" x14ac:dyDescent="0.35">
      <c r="I228" s="52">
        <v>197</v>
      </c>
      <c r="J228" s="53">
        <v>46219</v>
      </c>
      <c r="K228" s="54">
        <f t="shared" si="16"/>
        <v>7</v>
      </c>
      <c r="L228" s="55">
        <f t="shared" si="17"/>
        <v>65</v>
      </c>
      <c r="M228" s="56">
        <f t="shared" si="18"/>
        <v>6</v>
      </c>
      <c r="N228" s="54">
        <f t="shared" si="19"/>
        <v>16</v>
      </c>
      <c r="O228" s="52">
        <v>0</v>
      </c>
      <c r="P228" s="57">
        <f t="shared" si="20"/>
        <v>0</v>
      </c>
    </row>
    <row r="229" spans="9:16" ht="15" customHeight="1" x14ac:dyDescent="0.35">
      <c r="I229" s="52">
        <v>198</v>
      </c>
      <c r="J229" s="53">
        <v>46220</v>
      </c>
      <c r="K229" s="54">
        <f t="shared" si="16"/>
        <v>7</v>
      </c>
      <c r="L229" s="55">
        <f t="shared" si="17"/>
        <v>65</v>
      </c>
      <c r="M229" s="56">
        <f t="shared" si="18"/>
        <v>6</v>
      </c>
      <c r="N229" s="54">
        <f t="shared" si="19"/>
        <v>17</v>
      </c>
      <c r="O229" s="52">
        <v>0</v>
      </c>
      <c r="P229" s="57">
        <f t="shared" si="20"/>
        <v>0</v>
      </c>
    </row>
    <row r="230" spans="9:16" ht="15" customHeight="1" x14ac:dyDescent="0.35">
      <c r="I230" s="52">
        <v>199</v>
      </c>
      <c r="J230" s="53">
        <v>46221</v>
      </c>
      <c r="K230" s="54">
        <f t="shared" si="16"/>
        <v>7</v>
      </c>
      <c r="L230" s="55">
        <f t="shared" si="17"/>
        <v>65</v>
      </c>
      <c r="M230" s="56">
        <f t="shared" si="18"/>
        <v>6</v>
      </c>
      <c r="N230" s="54">
        <f t="shared" si="19"/>
        <v>18</v>
      </c>
      <c r="O230" s="52">
        <v>1</v>
      </c>
      <c r="P230" s="58">
        <f t="shared" si="20"/>
        <v>10.833333333333334</v>
      </c>
    </row>
    <row r="231" spans="9:16" ht="15" customHeight="1" x14ac:dyDescent="0.35">
      <c r="I231" s="52">
        <v>200</v>
      </c>
      <c r="J231" s="53">
        <v>46222</v>
      </c>
      <c r="K231" s="54">
        <f t="shared" si="16"/>
        <v>7</v>
      </c>
      <c r="L231" s="55">
        <f t="shared" si="17"/>
        <v>65</v>
      </c>
      <c r="M231" s="56">
        <f t="shared" si="18"/>
        <v>6</v>
      </c>
      <c r="N231" s="54">
        <f t="shared" si="19"/>
        <v>19</v>
      </c>
      <c r="O231" s="52">
        <v>0</v>
      </c>
      <c r="P231" s="57">
        <f t="shared" si="20"/>
        <v>0</v>
      </c>
    </row>
    <row r="232" spans="9:16" ht="15" customHeight="1" x14ac:dyDescent="0.35">
      <c r="I232" s="52">
        <v>201</v>
      </c>
      <c r="J232" s="53">
        <v>46223</v>
      </c>
      <c r="K232" s="54">
        <f t="shared" si="16"/>
        <v>7</v>
      </c>
      <c r="L232" s="55">
        <f t="shared" si="17"/>
        <v>65</v>
      </c>
      <c r="M232" s="56">
        <f t="shared" si="18"/>
        <v>6</v>
      </c>
      <c r="N232" s="54">
        <f t="shared" si="19"/>
        <v>20</v>
      </c>
      <c r="O232" s="52">
        <v>0</v>
      </c>
      <c r="P232" s="57">
        <f t="shared" si="20"/>
        <v>0</v>
      </c>
    </row>
    <row r="233" spans="9:16" ht="15" customHeight="1" x14ac:dyDescent="0.35">
      <c r="I233" s="52">
        <v>202</v>
      </c>
      <c r="J233" s="53">
        <v>46224</v>
      </c>
      <c r="K233" s="54">
        <f t="shared" si="16"/>
        <v>7</v>
      </c>
      <c r="L233" s="55">
        <f t="shared" si="17"/>
        <v>65</v>
      </c>
      <c r="M233" s="56">
        <f t="shared" si="18"/>
        <v>6</v>
      </c>
      <c r="N233" s="54">
        <f t="shared" si="19"/>
        <v>21</v>
      </c>
      <c r="O233" s="52">
        <v>0</v>
      </c>
      <c r="P233" s="57">
        <f t="shared" si="20"/>
        <v>0</v>
      </c>
    </row>
    <row r="234" spans="9:16" ht="15" customHeight="1" x14ac:dyDescent="0.35">
      <c r="I234" s="52">
        <v>203</v>
      </c>
      <c r="J234" s="53">
        <v>46225</v>
      </c>
      <c r="K234" s="54">
        <f t="shared" si="16"/>
        <v>7</v>
      </c>
      <c r="L234" s="55">
        <f t="shared" si="17"/>
        <v>65</v>
      </c>
      <c r="M234" s="56">
        <f t="shared" si="18"/>
        <v>6</v>
      </c>
      <c r="N234" s="54">
        <f t="shared" si="19"/>
        <v>22</v>
      </c>
      <c r="O234" s="52">
        <v>1</v>
      </c>
      <c r="P234" s="58">
        <f t="shared" si="20"/>
        <v>10.833333333333334</v>
      </c>
    </row>
    <row r="235" spans="9:16" ht="15" customHeight="1" x14ac:dyDescent="0.35">
      <c r="I235" s="52">
        <v>204</v>
      </c>
      <c r="J235" s="53">
        <v>46226</v>
      </c>
      <c r="K235" s="54">
        <f t="shared" si="16"/>
        <v>7</v>
      </c>
      <c r="L235" s="55">
        <f t="shared" si="17"/>
        <v>65</v>
      </c>
      <c r="M235" s="56">
        <f t="shared" si="18"/>
        <v>6</v>
      </c>
      <c r="N235" s="54">
        <f t="shared" si="19"/>
        <v>23</v>
      </c>
      <c r="O235" s="52">
        <v>0</v>
      </c>
      <c r="P235" s="57">
        <f t="shared" si="20"/>
        <v>0</v>
      </c>
    </row>
    <row r="236" spans="9:16" ht="15" customHeight="1" x14ac:dyDescent="0.35">
      <c r="I236" s="52">
        <v>205</v>
      </c>
      <c r="J236" s="53">
        <v>46227</v>
      </c>
      <c r="K236" s="54">
        <f t="shared" si="16"/>
        <v>7</v>
      </c>
      <c r="L236" s="55">
        <f t="shared" si="17"/>
        <v>65</v>
      </c>
      <c r="M236" s="56">
        <f t="shared" si="18"/>
        <v>6</v>
      </c>
      <c r="N236" s="54">
        <f t="shared" si="19"/>
        <v>24</v>
      </c>
      <c r="O236" s="52">
        <v>0</v>
      </c>
      <c r="P236" s="57">
        <f t="shared" si="20"/>
        <v>0</v>
      </c>
    </row>
    <row r="237" spans="9:16" ht="15" customHeight="1" x14ac:dyDescent="0.35">
      <c r="I237" s="52">
        <v>206</v>
      </c>
      <c r="J237" s="53">
        <v>46228</v>
      </c>
      <c r="K237" s="54">
        <f t="shared" si="16"/>
        <v>7</v>
      </c>
      <c r="L237" s="55">
        <f t="shared" si="17"/>
        <v>65</v>
      </c>
      <c r="M237" s="56">
        <f t="shared" si="18"/>
        <v>6</v>
      </c>
      <c r="N237" s="54">
        <f t="shared" si="19"/>
        <v>25</v>
      </c>
      <c r="O237" s="52">
        <v>0</v>
      </c>
      <c r="P237" s="57">
        <f t="shared" si="20"/>
        <v>0</v>
      </c>
    </row>
    <row r="238" spans="9:16" ht="15" customHeight="1" x14ac:dyDescent="0.35">
      <c r="I238" s="52">
        <v>207</v>
      </c>
      <c r="J238" s="53">
        <v>46229</v>
      </c>
      <c r="K238" s="54">
        <f t="shared" si="16"/>
        <v>7</v>
      </c>
      <c r="L238" s="55">
        <f t="shared" si="17"/>
        <v>65</v>
      </c>
      <c r="M238" s="56">
        <f t="shared" si="18"/>
        <v>6</v>
      </c>
      <c r="N238" s="54">
        <f t="shared" si="19"/>
        <v>26</v>
      </c>
      <c r="O238" s="52">
        <v>0</v>
      </c>
      <c r="P238" s="57">
        <f t="shared" si="20"/>
        <v>0</v>
      </c>
    </row>
    <row r="239" spans="9:16" ht="15" customHeight="1" x14ac:dyDescent="0.35">
      <c r="I239" s="52">
        <v>208</v>
      </c>
      <c r="J239" s="53">
        <v>46230</v>
      </c>
      <c r="K239" s="54">
        <f t="shared" si="16"/>
        <v>7</v>
      </c>
      <c r="L239" s="55">
        <f t="shared" si="17"/>
        <v>65</v>
      </c>
      <c r="M239" s="56">
        <f t="shared" si="18"/>
        <v>6</v>
      </c>
      <c r="N239" s="54">
        <f t="shared" si="19"/>
        <v>27</v>
      </c>
      <c r="O239" s="52">
        <v>1</v>
      </c>
      <c r="P239" s="58">
        <f t="shared" si="20"/>
        <v>10.833333333333334</v>
      </c>
    </row>
    <row r="240" spans="9:16" ht="15" customHeight="1" x14ac:dyDescent="0.35">
      <c r="I240" s="52">
        <v>209</v>
      </c>
      <c r="J240" s="53">
        <v>46231</v>
      </c>
      <c r="K240" s="54">
        <f t="shared" si="16"/>
        <v>7</v>
      </c>
      <c r="L240" s="55">
        <f t="shared" si="17"/>
        <v>65</v>
      </c>
      <c r="M240" s="56">
        <f t="shared" si="18"/>
        <v>6</v>
      </c>
      <c r="N240" s="54">
        <f t="shared" si="19"/>
        <v>28</v>
      </c>
      <c r="O240" s="52">
        <v>0</v>
      </c>
      <c r="P240" s="57">
        <f t="shared" si="20"/>
        <v>0</v>
      </c>
    </row>
    <row r="241" spans="9:16" ht="15" customHeight="1" x14ac:dyDescent="0.35">
      <c r="I241" s="52">
        <v>210</v>
      </c>
      <c r="J241" s="53">
        <v>46232</v>
      </c>
      <c r="K241" s="54">
        <f t="shared" si="16"/>
        <v>7</v>
      </c>
      <c r="L241" s="55">
        <f t="shared" si="17"/>
        <v>65</v>
      </c>
      <c r="M241" s="56">
        <f t="shared" si="18"/>
        <v>6</v>
      </c>
      <c r="N241" s="54">
        <f t="shared" si="19"/>
        <v>29</v>
      </c>
      <c r="O241" s="52">
        <v>0</v>
      </c>
      <c r="P241" s="57">
        <f t="shared" si="20"/>
        <v>0</v>
      </c>
    </row>
    <row r="242" spans="9:16" ht="15" customHeight="1" x14ac:dyDescent="0.35">
      <c r="I242" s="52">
        <v>211</v>
      </c>
      <c r="J242" s="53">
        <v>46233</v>
      </c>
      <c r="K242" s="54">
        <f t="shared" si="16"/>
        <v>7</v>
      </c>
      <c r="L242" s="55">
        <f t="shared" si="17"/>
        <v>65</v>
      </c>
      <c r="M242" s="56">
        <f t="shared" si="18"/>
        <v>6</v>
      </c>
      <c r="N242" s="54">
        <f t="shared" si="19"/>
        <v>30</v>
      </c>
      <c r="O242" s="52">
        <v>0</v>
      </c>
      <c r="P242" s="57">
        <f t="shared" si="20"/>
        <v>0</v>
      </c>
    </row>
    <row r="243" spans="9:16" ht="15" customHeight="1" x14ac:dyDescent="0.35">
      <c r="I243" s="52">
        <v>212</v>
      </c>
      <c r="J243" s="53">
        <v>46234</v>
      </c>
      <c r="K243" s="54">
        <f t="shared" si="16"/>
        <v>7</v>
      </c>
      <c r="L243" s="55">
        <f t="shared" si="17"/>
        <v>65</v>
      </c>
      <c r="M243" s="56">
        <f t="shared" si="18"/>
        <v>6</v>
      </c>
      <c r="N243" s="54">
        <f t="shared" si="19"/>
        <v>31</v>
      </c>
      <c r="O243" s="52">
        <v>0</v>
      </c>
      <c r="P243" s="57">
        <f t="shared" si="20"/>
        <v>0</v>
      </c>
    </row>
    <row r="244" spans="9:16" ht="15" customHeight="1" x14ac:dyDescent="0.35">
      <c r="I244" s="52">
        <v>213</v>
      </c>
      <c r="J244" s="53">
        <v>46235</v>
      </c>
      <c r="K244" s="54">
        <f t="shared" si="16"/>
        <v>8</v>
      </c>
      <c r="L244" s="55">
        <f t="shared" si="17"/>
        <v>57</v>
      </c>
      <c r="M244" s="56">
        <f t="shared" si="18"/>
        <v>5</v>
      </c>
      <c r="N244" s="54">
        <f t="shared" si="19"/>
        <v>1</v>
      </c>
      <c r="O244" s="52">
        <v>0</v>
      </c>
      <c r="P244" s="57">
        <f t="shared" si="20"/>
        <v>0</v>
      </c>
    </row>
    <row r="245" spans="9:16" ht="15" customHeight="1" x14ac:dyDescent="0.35">
      <c r="I245" s="52">
        <v>214</v>
      </c>
      <c r="J245" s="53">
        <v>46236</v>
      </c>
      <c r="K245" s="54">
        <f t="shared" si="16"/>
        <v>8</v>
      </c>
      <c r="L245" s="55">
        <f t="shared" si="17"/>
        <v>57</v>
      </c>
      <c r="M245" s="56">
        <f t="shared" si="18"/>
        <v>5</v>
      </c>
      <c r="N245" s="54">
        <f t="shared" si="19"/>
        <v>2</v>
      </c>
      <c r="O245" s="52">
        <v>0</v>
      </c>
      <c r="P245" s="57">
        <f t="shared" si="20"/>
        <v>0</v>
      </c>
    </row>
    <row r="246" spans="9:16" ht="15" customHeight="1" x14ac:dyDescent="0.35">
      <c r="I246" s="52">
        <v>215</v>
      </c>
      <c r="J246" s="53">
        <v>46237</v>
      </c>
      <c r="K246" s="54">
        <f t="shared" si="16"/>
        <v>8</v>
      </c>
      <c r="L246" s="55">
        <f t="shared" si="17"/>
        <v>57</v>
      </c>
      <c r="M246" s="56">
        <f t="shared" si="18"/>
        <v>5</v>
      </c>
      <c r="N246" s="54">
        <f t="shared" si="19"/>
        <v>3</v>
      </c>
      <c r="O246" s="52">
        <v>0</v>
      </c>
      <c r="P246" s="57">
        <f t="shared" si="20"/>
        <v>0</v>
      </c>
    </row>
    <row r="247" spans="9:16" ht="15" customHeight="1" x14ac:dyDescent="0.35">
      <c r="I247" s="52">
        <v>216</v>
      </c>
      <c r="J247" s="53">
        <v>46238</v>
      </c>
      <c r="K247" s="54">
        <f t="shared" si="16"/>
        <v>8</v>
      </c>
      <c r="L247" s="55">
        <f t="shared" si="17"/>
        <v>57</v>
      </c>
      <c r="M247" s="56">
        <f t="shared" si="18"/>
        <v>5</v>
      </c>
      <c r="N247" s="54">
        <f t="shared" si="19"/>
        <v>4</v>
      </c>
      <c r="O247" s="52">
        <v>0</v>
      </c>
      <c r="P247" s="57">
        <f t="shared" si="20"/>
        <v>0</v>
      </c>
    </row>
    <row r="248" spans="9:16" ht="15" customHeight="1" x14ac:dyDescent="0.35">
      <c r="I248" s="52">
        <v>217</v>
      </c>
      <c r="J248" s="53">
        <v>46239</v>
      </c>
      <c r="K248" s="54">
        <f t="shared" si="16"/>
        <v>8</v>
      </c>
      <c r="L248" s="55">
        <f t="shared" si="17"/>
        <v>57</v>
      </c>
      <c r="M248" s="56">
        <f t="shared" si="18"/>
        <v>5</v>
      </c>
      <c r="N248" s="54">
        <f t="shared" si="19"/>
        <v>5</v>
      </c>
      <c r="O248" s="52">
        <v>1</v>
      </c>
      <c r="P248" s="58">
        <f t="shared" si="20"/>
        <v>11.4</v>
      </c>
    </row>
    <row r="249" spans="9:16" ht="15" customHeight="1" x14ac:dyDescent="0.35">
      <c r="I249" s="52">
        <v>218</v>
      </c>
      <c r="J249" s="53">
        <v>46240</v>
      </c>
      <c r="K249" s="54">
        <f t="shared" si="16"/>
        <v>8</v>
      </c>
      <c r="L249" s="55">
        <f t="shared" si="17"/>
        <v>57</v>
      </c>
      <c r="M249" s="56">
        <f t="shared" si="18"/>
        <v>5</v>
      </c>
      <c r="N249" s="54">
        <f t="shared" si="19"/>
        <v>6</v>
      </c>
      <c r="O249" s="52">
        <v>0</v>
      </c>
      <c r="P249" s="57">
        <f t="shared" si="20"/>
        <v>0</v>
      </c>
    </row>
    <row r="250" spans="9:16" ht="15" customHeight="1" x14ac:dyDescent="0.35">
      <c r="I250" s="52">
        <v>219</v>
      </c>
      <c r="J250" s="53">
        <v>46241</v>
      </c>
      <c r="K250" s="54">
        <f t="shared" si="16"/>
        <v>8</v>
      </c>
      <c r="L250" s="55">
        <f t="shared" si="17"/>
        <v>57</v>
      </c>
      <c r="M250" s="56">
        <f t="shared" si="18"/>
        <v>5</v>
      </c>
      <c r="N250" s="54">
        <f t="shared" si="19"/>
        <v>7</v>
      </c>
      <c r="O250" s="52">
        <v>0</v>
      </c>
      <c r="P250" s="57">
        <f t="shared" si="20"/>
        <v>0</v>
      </c>
    </row>
    <row r="251" spans="9:16" ht="15" customHeight="1" x14ac:dyDescent="0.35">
      <c r="I251" s="52">
        <v>220</v>
      </c>
      <c r="J251" s="53">
        <v>46242</v>
      </c>
      <c r="K251" s="54">
        <f t="shared" si="16"/>
        <v>8</v>
      </c>
      <c r="L251" s="55">
        <f t="shared" si="17"/>
        <v>57</v>
      </c>
      <c r="M251" s="56">
        <f t="shared" si="18"/>
        <v>5</v>
      </c>
      <c r="N251" s="54">
        <f t="shared" si="19"/>
        <v>8</v>
      </c>
      <c r="O251" s="52">
        <v>0</v>
      </c>
      <c r="P251" s="57">
        <f t="shared" si="20"/>
        <v>0</v>
      </c>
    </row>
    <row r="252" spans="9:16" ht="15" customHeight="1" x14ac:dyDescent="0.35">
      <c r="I252" s="52">
        <v>221</v>
      </c>
      <c r="J252" s="53">
        <v>46243</v>
      </c>
      <c r="K252" s="54">
        <f t="shared" si="16"/>
        <v>8</v>
      </c>
      <c r="L252" s="55">
        <f t="shared" si="17"/>
        <v>57</v>
      </c>
      <c r="M252" s="56">
        <f t="shared" si="18"/>
        <v>5</v>
      </c>
      <c r="N252" s="54">
        <f t="shared" si="19"/>
        <v>9</v>
      </c>
      <c r="O252" s="52">
        <v>0</v>
      </c>
      <c r="P252" s="57">
        <f t="shared" si="20"/>
        <v>0</v>
      </c>
    </row>
    <row r="253" spans="9:16" ht="15" customHeight="1" x14ac:dyDescent="0.35">
      <c r="I253" s="52">
        <v>222</v>
      </c>
      <c r="J253" s="53">
        <v>46244</v>
      </c>
      <c r="K253" s="54">
        <f t="shared" si="16"/>
        <v>8</v>
      </c>
      <c r="L253" s="55">
        <f t="shared" si="17"/>
        <v>57</v>
      </c>
      <c r="M253" s="56">
        <f t="shared" si="18"/>
        <v>5</v>
      </c>
      <c r="N253" s="54">
        <f t="shared" si="19"/>
        <v>10</v>
      </c>
      <c r="O253" s="52">
        <v>1</v>
      </c>
      <c r="P253" s="58">
        <f t="shared" si="20"/>
        <v>11.4</v>
      </c>
    </row>
    <row r="254" spans="9:16" ht="15" customHeight="1" x14ac:dyDescent="0.35">
      <c r="I254" s="52">
        <v>223</v>
      </c>
      <c r="J254" s="53">
        <v>46245</v>
      </c>
      <c r="K254" s="54">
        <f t="shared" si="16"/>
        <v>8</v>
      </c>
      <c r="L254" s="55">
        <f t="shared" si="17"/>
        <v>57</v>
      </c>
      <c r="M254" s="56">
        <f t="shared" si="18"/>
        <v>5</v>
      </c>
      <c r="N254" s="54">
        <f t="shared" si="19"/>
        <v>11</v>
      </c>
      <c r="O254" s="52">
        <v>0</v>
      </c>
      <c r="P254" s="57">
        <f t="shared" si="20"/>
        <v>0</v>
      </c>
    </row>
    <row r="255" spans="9:16" ht="15" customHeight="1" x14ac:dyDescent="0.35">
      <c r="I255" s="52">
        <v>224</v>
      </c>
      <c r="J255" s="53">
        <v>46246</v>
      </c>
      <c r="K255" s="54">
        <f t="shared" si="16"/>
        <v>8</v>
      </c>
      <c r="L255" s="55">
        <f t="shared" si="17"/>
        <v>57</v>
      </c>
      <c r="M255" s="56">
        <f t="shared" si="18"/>
        <v>5</v>
      </c>
      <c r="N255" s="54">
        <f t="shared" si="19"/>
        <v>12</v>
      </c>
      <c r="O255" s="52">
        <v>0</v>
      </c>
      <c r="P255" s="57">
        <f t="shared" si="20"/>
        <v>0</v>
      </c>
    </row>
    <row r="256" spans="9:16" ht="15" customHeight="1" x14ac:dyDescent="0.35">
      <c r="I256" s="52">
        <v>225</v>
      </c>
      <c r="J256" s="53">
        <v>46247</v>
      </c>
      <c r="K256" s="54">
        <f t="shared" si="16"/>
        <v>8</v>
      </c>
      <c r="L256" s="55">
        <f t="shared" si="17"/>
        <v>57</v>
      </c>
      <c r="M256" s="56">
        <f t="shared" si="18"/>
        <v>5</v>
      </c>
      <c r="N256" s="54">
        <f t="shared" si="19"/>
        <v>13</v>
      </c>
      <c r="O256" s="52">
        <v>0</v>
      </c>
      <c r="P256" s="57">
        <f t="shared" si="20"/>
        <v>0</v>
      </c>
    </row>
    <row r="257" spans="9:16" ht="15" customHeight="1" x14ac:dyDescent="0.35">
      <c r="I257" s="52">
        <v>226</v>
      </c>
      <c r="J257" s="53">
        <v>46248</v>
      </c>
      <c r="K257" s="54">
        <f t="shared" si="16"/>
        <v>8</v>
      </c>
      <c r="L257" s="55">
        <f t="shared" si="17"/>
        <v>57</v>
      </c>
      <c r="M257" s="56">
        <f t="shared" si="18"/>
        <v>5</v>
      </c>
      <c r="N257" s="54">
        <f t="shared" si="19"/>
        <v>14</v>
      </c>
      <c r="O257" s="52">
        <v>0</v>
      </c>
      <c r="P257" s="57">
        <f t="shared" si="20"/>
        <v>0</v>
      </c>
    </row>
    <row r="258" spans="9:16" ht="15" customHeight="1" x14ac:dyDescent="0.35">
      <c r="I258" s="52">
        <v>227</v>
      </c>
      <c r="J258" s="53">
        <v>46249</v>
      </c>
      <c r="K258" s="54">
        <f t="shared" si="16"/>
        <v>8</v>
      </c>
      <c r="L258" s="55">
        <f t="shared" si="17"/>
        <v>57</v>
      </c>
      <c r="M258" s="56">
        <f t="shared" si="18"/>
        <v>5</v>
      </c>
      <c r="N258" s="54">
        <f t="shared" si="19"/>
        <v>15</v>
      </c>
      <c r="O258" s="52">
        <v>0</v>
      </c>
      <c r="P258" s="57">
        <f t="shared" si="20"/>
        <v>0</v>
      </c>
    </row>
    <row r="259" spans="9:16" ht="15" customHeight="1" x14ac:dyDescent="0.35">
      <c r="I259" s="52">
        <v>228</v>
      </c>
      <c r="J259" s="53">
        <v>46250</v>
      </c>
      <c r="K259" s="54">
        <f t="shared" si="16"/>
        <v>8</v>
      </c>
      <c r="L259" s="55">
        <f t="shared" si="17"/>
        <v>57</v>
      </c>
      <c r="M259" s="56">
        <f t="shared" si="18"/>
        <v>5</v>
      </c>
      <c r="N259" s="54">
        <f t="shared" si="19"/>
        <v>16</v>
      </c>
      <c r="O259" s="52">
        <v>1</v>
      </c>
      <c r="P259" s="58">
        <f t="shared" si="20"/>
        <v>11.4</v>
      </c>
    </row>
    <row r="260" spans="9:16" ht="15" customHeight="1" x14ac:dyDescent="0.35">
      <c r="I260" s="52">
        <v>229</v>
      </c>
      <c r="J260" s="53">
        <v>46251</v>
      </c>
      <c r="K260" s="54">
        <f t="shared" si="16"/>
        <v>8</v>
      </c>
      <c r="L260" s="55">
        <f t="shared" si="17"/>
        <v>57</v>
      </c>
      <c r="M260" s="56">
        <f t="shared" si="18"/>
        <v>5</v>
      </c>
      <c r="N260" s="54">
        <f t="shared" si="19"/>
        <v>17</v>
      </c>
      <c r="O260" s="52">
        <v>0</v>
      </c>
      <c r="P260" s="57">
        <f t="shared" si="20"/>
        <v>0</v>
      </c>
    </row>
    <row r="261" spans="9:16" ht="15" customHeight="1" x14ac:dyDescent="0.35">
      <c r="I261" s="52">
        <v>230</v>
      </c>
      <c r="J261" s="53">
        <v>46252</v>
      </c>
      <c r="K261" s="54">
        <f t="shared" si="16"/>
        <v>8</v>
      </c>
      <c r="L261" s="55">
        <f t="shared" si="17"/>
        <v>57</v>
      </c>
      <c r="M261" s="56">
        <f t="shared" si="18"/>
        <v>5</v>
      </c>
      <c r="N261" s="54">
        <f t="shared" si="19"/>
        <v>18</v>
      </c>
      <c r="O261" s="52">
        <v>0</v>
      </c>
      <c r="P261" s="57">
        <f t="shared" si="20"/>
        <v>0</v>
      </c>
    </row>
    <row r="262" spans="9:16" ht="15" customHeight="1" x14ac:dyDescent="0.35">
      <c r="I262" s="52">
        <v>231</v>
      </c>
      <c r="J262" s="53">
        <v>46253</v>
      </c>
      <c r="K262" s="54">
        <f t="shared" si="16"/>
        <v>8</v>
      </c>
      <c r="L262" s="55">
        <f t="shared" si="17"/>
        <v>57</v>
      </c>
      <c r="M262" s="56">
        <f t="shared" si="18"/>
        <v>5</v>
      </c>
      <c r="N262" s="54">
        <f t="shared" si="19"/>
        <v>19</v>
      </c>
      <c r="O262" s="52">
        <v>0</v>
      </c>
      <c r="P262" s="57">
        <f t="shared" si="20"/>
        <v>0</v>
      </c>
    </row>
    <row r="263" spans="9:16" ht="15" customHeight="1" x14ac:dyDescent="0.35">
      <c r="I263" s="52">
        <v>232</v>
      </c>
      <c r="J263" s="53">
        <v>46254</v>
      </c>
      <c r="K263" s="54">
        <f t="shared" si="16"/>
        <v>8</v>
      </c>
      <c r="L263" s="55">
        <f t="shared" si="17"/>
        <v>57</v>
      </c>
      <c r="M263" s="56">
        <f t="shared" si="18"/>
        <v>5</v>
      </c>
      <c r="N263" s="54">
        <f t="shared" si="19"/>
        <v>20</v>
      </c>
      <c r="O263" s="52">
        <v>0</v>
      </c>
      <c r="P263" s="57">
        <f t="shared" si="20"/>
        <v>0</v>
      </c>
    </row>
    <row r="264" spans="9:16" ht="15" customHeight="1" x14ac:dyDescent="0.35">
      <c r="I264" s="52">
        <v>233</v>
      </c>
      <c r="J264" s="53">
        <v>46255</v>
      </c>
      <c r="K264" s="54">
        <f t="shared" si="16"/>
        <v>8</v>
      </c>
      <c r="L264" s="55">
        <f t="shared" si="17"/>
        <v>57</v>
      </c>
      <c r="M264" s="56">
        <f t="shared" si="18"/>
        <v>5</v>
      </c>
      <c r="N264" s="54">
        <f t="shared" si="19"/>
        <v>21</v>
      </c>
      <c r="O264" s="52">
        <v>1</v>
      </c>
      <c r="P264" s="58">
        <f t="shared" si="20"/>
        <v>11.4</v>
      </c>
    </row>
    <row r="265" spans="9:16" ht="15" customHeight="1" x14ac:dyDescent="0.35">
      <c r="I265" s="52">
        <v>234</v>
      </c>
      <c r="J265" s="53">
        <v>46256</v>
      </c>
      <c r="K265" s="54">
        <f t="shared" si="16"/>
        <v>8</v>
      </c>
      <c r="L265" s="55">
        <f t="shared" si="17"/>
        <v>57</v>
      </c>
      <c r="M265" s="56">
        <f t="shared" si="18"/>
        <v>5</v>
      </c>
      <c r="N265" s="54">
        <f t="shared" si="19"/>
        <v>22</v>
      </c>
      <c r="O265" s="52">
        <v>0</v>
      </c>
      <c r="P265" s="57">
        <f t="shared" si="20"/>
        <v>0</v>
      </c>
    </row>
    <row r="266" spans="9:16" ht="15" customHeight="1" x14ac:dyDescent="0.35">
      <c r="I266" s="52">
        <v>235</v>
      </c>
      <c r="J266" s="53">
        <v>46257</v>
      </c>
      <c r="K266" s="54">
        <f t="shared" si="16"/>
        <v>8</v>
      </c>
      <c r="L266" s="55">
        <f t="shared" si="17"/>
        <v>57</v>
      </c>
      <c r="M266" s="56">
        <f t="shared" si="18"/>
        <v>5</v>
      </c>
      <c r="N266" s="54">
        <f t="shared" si="19"/>
        <v>23</v>
      </c>
      <c r="O266" s="52">
        <v>0</v>
      </c>
      <c r="P266" s="57">
        <f t="shared" si="20"/>
        <v>0</v>
      </c>
    </row>
    <row r="267" spans="9:16" ht="15" customHeight="1" x14ac:dyDescent="0.35">
      <c r="I267" s="52">
        <v>236</v>
      </c>
      <c r="J267" s="53">
        <v>46258</v>
      </c>
      <c r="K267" s="54">
        <f t="shared" si="16"/>
        <v>8</v>
      </c>
      <c r="L267" s="55">
        <f t="shared" si="17"/>
        <v>57</v>
      </c>
      <c r="M267" s="56">
        <f t="shared" si="18"/>
        <v>5</v>
      </c>
      <c r="N267" s="54">
        <f t="shared" si="19"/>
        <v>24</v>
      </c>
      <c r="O267" s="52">
        <v>0</v>
      </c>
      <c r="P267" s="57">
        <f t="shared" si="20"/>
        <v>0</v>
      </c>
    </row>
    <row r="268" spans="9:16" ht="15" customHeight="1" x14ac:dyDescent="0.35">
      <c r="I268" s="52">
        <v>237</v>
      </c>
      <c r="J268" s="53">
        <v>46259</v>
      </c>
      <c r="K268" s="54">
        <f t="shared" si="16"/>
        <v>8</v>
      </c>
      <c r="L268" s="55">
        <f t="shared" si="17"/>
        <v>57</v>
      </c>
      <c r="M268" s="56">
        <f t="shared" si="18"/>
        <v>5</v>
      </c>
      <c r="N268" s="54">
        <f t="shared" si="19"/>
        <v>25</v>
      </c>
      <c r="O268" s="52">
        <v>0</v>
      </c>
      <c r="P268" s="57">
        <f t="shared" si="20"/>
        <v>0</v>
      </c>
    </row>
    <row r="269" spans="9:16" ht="15" customHeight="1" x14ac:dyDescent="0.35">
      <c r="I269" s="52">
        <v>238</v>
      </c>
      <c r="J269" s="53">
        <v>46260</v>
      </c>
      <c r="K269" s="54">
        <f t="shared" si="16"/>
        <v>8</v>
      </c>
      <c r="L269" s="55">
        <f t="shared" si="17"/>
        <v>57</v>
      </c>
      <c r="M269" s="56">
        <f t="shared" si="18"/>
        <v>5</v>
      </c>
      <c r="N269" s="54">
        <f t="shared" si="19"/>
        <v>26</v>
      </c>
      <c r="O269" s="52">
        <v>1</v>
      </c>
      <c r="P269" s="58">
        <f t="shared" si="20"/>
        <v>11.4</v>
      </c>
    </row>
    <row r="270" spans="9:16" ht="15" customHeight="1" x14ac:dyDescent="0.35">
      <c r="I270" s="52">
        <v>239</v>
      </c>
      <c r="J270" s="53">
        <v>46261</v>
      </c>
      <c r="K270" s="54">
        <f t="shared" si="16"/>
        <v>8</v>
      </c>
      <c r="L270" s="55">
        <f t="shared" si="17"/>
        <v>57</v>
      </c>
      <c r="M270" s="56">
        <f t="shared" si="18"/>
        <v>5</v>
      </c>
      <c r="N270" s="54">
        <f t="shared" si="19"/>
        <v>27</v>
      </c>
      <c r="O270" s="52">
        <v>0</v>
      </c>
      <c r="P270" s="57">
        <f t="shared" si="20"/>
        <v>0</v>
      </c>
    </row>
    <row r="271" spans="9:16" ht="15" customHeight="1" x14ac:dyDescent="0.35">
      <c r="I271" s="52">
        <v>240</v>
      </c>
      <c r="J271" s="53">
        <v>46262</v>
      </c>
      <c r="K271" s="54">
        <f t="shared" si="16"/>
        <v>8</v>
      </c>
      <c r="L271" s="55">
        <f t="shared" si="17"/>
        <v>57</v>
      </c>
      <c r="M271" s="56">
        <f t="shared" si="18"/>
        <v>5</v>
      </c>
      <c r="N271" s="54">
        <f t="shared" si="19"/>
        <v>28</v>
      </c>
      <c r="O271" s="52">
        <v>0</v>
      </c>
      <c r="P271" s="57">
        <f t="shared" si="20"/>
        <v>0</v>
      </c>
    </row>
    <row r="272" spans="9:16" ht="15" customHeight="1" x14ac:dyDescent="0.35">
      <c r="I272" s="52">
        <v>241</v>
      </c>
      <c r="J272" s="53">
        <v>46263</v>
      </c>
      <c r="K272" s="54">
        <f t="shared" si="16"/>
        <v>8</v>
      </c>
      <c r="L272" s="55">
        <f t="shared" si="17"/>
        <v>57</v>
      </c>
      <c r="M272" s="56">
        <f t="shared" si="18"/>
        <v>5</v>
      </c>
      <c r="N272" s="54">
        <f t="shared" si="19"/>
        <v>29</v>
      </c>
      <c r="O272" s="52">
        <v>0</v>
      </c>
      <c r="P272" s="57">
        <f t="shared" si="20"/>
        <v>0</v>
      </c>
    </row>
    <row r="273" spans="9:16" ht="15" customHeight="1" x14ac:dyDescent="0.35">
      <c r="I273" s="52">
        <v>242</v>
      </c>
      <c r="J273" s="53">
        <v>46264</v>
      </c>
      <c r="K273" s="54">
        <f t="shared" si="16"/>
        <v>8</v>
      </c>
      <c r="L273" s="55">
        <f t="shared" si="17"/>
        <v>57</v>
      </c>
      <c r="M273" s="56">
        <f t="shared" si="18"/>
        <v>5</v>
      </c>
      <c r="N273" s="54">
        <f t="shared" si="19"/>
        <v>30</v>
      </c>
      <c r="O273" s="52">
        <v>0</v>
      </c>
      <c r="P273" s="57">
        <f t="shared" si="20"/>
        <v>0</v>
      </c>
    </row>
    <row r="274" spans="9:16" ht="15" customHeight="1" x14ac:dyDescent="0.35">
      <c r="I274" s="52">
        <v>243</v>
      </c>
      <c r="J274" s="53">
        <v>46265</v>
      </c>
      <c r="K274" s="54">
        <f t="shared" si="16"/>
        <v>8</v>
      </c>
      <c r="L274" s="55">
        <f t="shared" si="17"/>
        <v>57</v>
      </c>
      <c r="M274" s="56">
        <f t="shared" si="18"/>
        <v>5</v>
      </c>
      <c r="N274" s="54">
        <f t="shared" si="19"/>
        <v>31</v>
      </c>
      <c r="O274" s="52">
        <v>0</v>
      </c>
      <c r="P274" s="57">
        <f t="shared" si="20"/>
        <v>0</v>
      </c>
    </row>
    <row r="275" spans="9:16" ht="15" customHeight="1" x14ac:dyDescent="0.35">
      <c r="I275" s="52">
        <v>244</v>
      </c>
      <c r="J275" s="53">
        <v>46266</v>
      </c>
      <c r="K275" s="54">
        <f t="shared" si="16"/>
        <v>9</v>
      </c>
      <c r="L275" s="55">
        <f t="shared" si="17"/>
        <v>15</v>
      </c>
      <c r="M275" s="56">
        <f t="shared" si="18"/>
        <v>3</v>
      </c>
      <c r="N275" s="54">
        <f t="shared" si="19"/>
        <v>1</v>
      </c>
      <c r="O275" s="52">
        <v>0</v>
      </c>
      <c r="P275" s="57">
        <f t="shared" si="20"/>
        <v>0</v>
      </c>
    </row>
    <row r="276" spans="9:16" ht="15" customHeight="1" x14ac:dyDescent="0.35">
      <c r="I276" s="52">
        <v>245</v>
      </c>
      <c r="J276" s="53">
        <v>46267</v>
      </c>
      <c r="K276" s="54">
        <f t="shared" si="16"/>
        <v>9</v>
      </c>
      <c r="L276" s="55">
        <f t="shared" si="17"/>
        <v>15</v>
      </c>
      <c r="M276" s="56">
        <f t="shared" si="18"/>
        <v>3</v>
      </c>
      <c r="N276" s="54">
        <f t="shared" si="19"/>
        <v>2</v>
      </c>
      <c r="O276" s="52">
        <v>0</v>
      </c>
      <c r="P276" s="57">
        <f t="shared" si="20"/>
        <v>0</v>
      </c>
    </row>
    <row r="277" spans="9:16" ht="15" customHeight="1" x14ac:dyDescent="0.35">
      <c r="I277" s="52">
        <v>246</v>
      </c>
      <c r="J277" s="53">
        <v>46268</v>
      </c>
      <c r="K277" s="54">
        <f t="shared" si="16"/>
        <v>9</v>
      </c>
      <c r="L277" s="55">
        <f t="shared" si="17"/>
        <v>15</v>
      </c>
      <c r="M277" s="56">
        <f t="shared" si="18"/>
        <v>3</v>
      </c>
      <c r="N277" s="54">
        <f t="shared" si="19"/>
        <v>3</v>
      </c>
      <c r="O277" s="52">
        <v>0</v>
      </c>
      <c r="P277" s="57">
        <f t="shared" si="20"/>
        <v>0</v>
      </c>
    </row>
    <row r="278" spans="9:16" ht="15" customHeight="1" x14ac:dyDescent="0.35">
      <c r="I278" s="52">
        <v>247</v>
      </c>
      <c r="J278" s="53">
        <v>46269</v>
      </c>
      <c r="K278" s="54">
        <f t="shared" si="16"/>
        <v>9</v>
      </c>
      <c r="L278" s="55">
        <f t="shared" si="17"/>
        <v>15</v>
      </c>
      <c r="M278" s="56">
        <f t="shared" si="18"/>
        <v>3</v>
      </c>
      <c r="N278" s="54">
        <f t="shared" si="19"/>
        <v>4</v>
      </c>
      <c r="O278" s="52">
        <v>0</v>
      </c>
      <c r="P278" s="57">
        <f t="shared" si="20"/>
        <v>0</v>
      </c>
    </row>
    <row r="279" spans="9:16" ht="15" customHeight="1" x14ac:dyDescent="0.35">
      <c r="I279" s="52">
        <v>248</v>
      </c>
      <c r="J279" s="53">
        <v>46270</v>
      </c>
      <c r="K279" s="54">
        <f t="shared" si="16"/>
        <v>9</v>
      </c>
      <c r="L279" s="55">
        <f t="shared" si="17"/>
        <v>15</v>
      </c>
      <c r="M279" s="56">
        <f t="shared" si="18"/>
        <v>3</v>
      </c>
      <c r="N279" s="54">
        <f t="shared" si="19"/>
        <v>5</v>
      </c>
      <c r="O279" s="52">
        <v>0</v>
      </c>
      <c r="P279" s="57">
        <f t="shared" si="20"/>
        <v>0</v>
      </c>
    </row>
    <row r="280" spans="9:16" ht="15" customHeight="1" x14ac:dyDescent="0.35">
      <c r="I280" s="52">
        <v>249</v>
      </c>
      <c r="J280" s="53">
        <v>46271</v>
      </c>
      <c r="K280" s="54">
        <f t="shared" si="16"/>
        <v>9</v>
      </c>
      <c r="L280" s="55">
        <f t="shared" si="17"/>
        <v>15</v>
      </c>
      <c r="M280" s="56">
        <f t="shared" si="18"/>
        <v>3</v>
      </c>
      <c r="N280" s="54">
        <f t="shared" si="19"/>
        <v>6</v>
      </c>
      <c r="O280" s="52">
        <v>0</v>
      </c>
      <c r="P280" s="57">
        <f t="shared" si="20"/>
        <v>0</v>
      </c>
    </row>
    <row r="281" spans="9:16" ht="15" customHeight="1" x14ac:dyDescent="0.35">
      <c r="I281" s="52">
        <v>250</v>
      </c>
      <c r="J281" s="53">
        <v>46272</v>
      </c>
      <c r="K281" s="54">
        <f t="shared" si="16"/>
        <v>9</v>
      </c>
      <c r="L281" s="55">
        <f t="shared" si="17"/>
        <v>15</v>
      </c>
      <c r="M281" s="56">
        <f t="shared" si="18"/>
        <v>3</v>
      </c>
      <c r="N281" s="54">
        <f t="shared" si="19"/>
        <v>7</v>
      </c>
      <c r="O281" s="52">
        <v>0</v>
      </c>
      <c r="P281" s="57">
        <f t="shared" si="20"/>
        <v>0</v>
      </c>
    </row>
    <row r="282" spans="9:16" ht="15" customHeight="1" x14ac:dyDescent="0.35">
      <c r="I282" s="52">
        <v>251</v>
      </c>
      <c r="J282" s="53">
        <v>46273</v>
      </c>
      <c r="K282" s="54">
        <f t="shared" si="16"/>
        <v>9</v>
      </c>
      <c r="L282" s="55">
        <f t="shared" si="17"/>
        <v>15</v>
      </c>
      <c r="M282" s="56">
        <f t="shared" si="18"/>
        <v>3</v>
      </c>
      <c r="N282" s="54">
        <f t="shared" si="19"/>
        <v>8</v>
      </c>
      <c r="O282" s="52">
        <v>1</v>
      </c>
      <c r="P282" s="58">
        <f t="shared" si="20"/>
        <v>5</v>
      </c>
    </row>
    <row r="283" spans="9:16" ht="15" customHeight="1" x14ac:dyDescent="0.35">
      <c r="I283" s="52">
        <v>252</v>
      </c>
      <c r="J283" s="53">
        <v>46274</v>
      </c>
      <c r="K283" s="54">
        <f t="shared" si="16"/>
        <v>9</v>
      </c>
      <c r="L283" s="55">
        <f t="shared" si="17"/>
        <v>15</v>
      </c>
      <c r="M283" s="56">
        <f t="shared" si="18"/>
        <v>3</v>
      </c>
      <c r="N283" s="54">
        <f t="shared" si="19"/>
        <v>9</v>
      </c>
      <c r="O283" s="52">
        <v>0</v>
      </c>
      <c r="P283" s="57">
        <f t="shared" si="20"/>
        <v>0</v>
      </c>
    </row>
    <row r="284" spans="9:16" ht="15" customHeight="1" x14ac:dyDescent="0.35">
      <c r="I284" s="52">
        <v>253</v>
      </c>
      <c r="J284" s="53">
        <v>46275</v>
      </c>
      <c r="K284" s="54">
        <f t="shared" si="16"/>
        <v>9</v>
      </c>
      <c r="L284" s="55">
        <f t="shared" si="17"/>
        <v>15</v>
      </c>
      <c r="M284" s="56">
        <f t="shared" si="18"/>
        <v>3</v>
      </c>
      <c r="N284" s="54">
        <f t="shared" si="19"/>
        <v>10</v>
      </c>
      <c r="O284" s="52">
        <v>0</v>
      </c>
      <c r="P284" s="57">
        <f t="shared" si="20"/>
        <v>0</v>
      </c>
    </row>
    <row r="285" spans="9:16" ht="15" customHeight="1" x14ac:dyDescent="0.35">
      <c r="I285" s="52">
        <v>254</v>
      </c>
      <c r="J285" s="53">
        <v>46276</v>
      </c>
      <c r="K285" s="54">
        <f t="shared" si="16"/>
        <v>9</v>
      </c>
      <c r="L285" s="55">
        <f t="shared" si="17"/>
        <v>15</v>
      </c>
      <c r="M285" s="56">
        <f t="shared" si="18"/>
        <v>3</v>
      </c>
      <c r="N285" s="54">
        <f t="shared" si="19"/>
        <v>11</v>
      </c>
      <c r="O285" s="52">
        <v>0</v>
      </c>
      <c r="P285" s="57">
        <f t="shared" si="20"/>
        <v>0</v>
      </c>
    </row>
    <row r="286" spans="9:16" ht="15" customHeight="1" x14ac:dyDescent="0.35">
      <c r="I286" s="52">
        <v>255</v>
      </c>
      <c r="J286" s="53">
        <v>46277</v>
      </c>
      <c r="K286" s="54">
        <f t="shared" si="16"/>
        <v>9</v>
      </c>
      <c r="L286" s="55">
        <f t="shared" si="17"/>
        <v>15</v>
      </c>
      <c r="M286" s="56">
        <f t="shared" si="18"/>
        <v>3</v>
      </c>
      <c r="N286" s="54">
        <f t="shared" si="19"/>
        <v>12</v>
      </c>
      <c r="O286" s="52">
        <v>0</v>
      </c>
      <c r="P286" s="57">
        <f t="shared" si="20"/>
        <v>0</v>
      </c>
    </row>
    <row r="287" spans="9:16" ht="15" customHeight="1" x14ac:dyDescent="0.35">
      <c r="I287" s="52">
        <v>256</v>
      </c>
      <c r="J287" s="53">
        <v>46278</v>
      </c>
      <c r="K287" s="54">
        <f t="shared" si="16"/>
        <v>9</v>
      </c>
      <c r="L287" s="55">
        <f t="shared" si="17"/>
        <v>15</v>
      </c>
      <c r="M287" s="56">
        <f t="shared" si="18"/>
        <v>3</v>
      </c>
      <c r="N287" s="54">
        <f t="shared" si="19"/>
        <v>13</v>
      </c>
      <c r="O287" s="52">
        <v>0</v>
      </c>
      <c r="P287" s="57">
        <f t="shared" si="20"/>
        <v>0</v>
      </c>
    </row>
    <row r="288" spans="9:16" ht="15" customHeight="1" x14ac:dyDescent="0.35">
      <c r="I288" s="52">
        <v>257</v>
      </c>
      <c r="J288" s="53">
        <v>46279</v>
      </c>
      <c r="K288" s="54">
        <f t="shared" ref="K288:K351" si="21">MONTH(J288)</f>
        <v>9</v>
      </c>
      <c r="L288" s="55">
        <f t="shared" ref="L288:L351" si="22">INDEX($C$15:$C$26,K288)</f>
        <v>15</v>
      </c>
      <c r="M288" s="56">
        <f t="shared" ref="M288:M351" si="23">INDEX($D$15:$D$26,K288)</f>
        <v>3</v>
      </c>
      <c r="N288" s="54">
        <f t="shared" ref="N288:N351" si="24">DAY(J288)</f>
        <v>14</v>
      </c>
      <c r="O288" s="52">
        <v>0</v>
      </c>
      <c r="P288" s="57">
        <f t="shared" ref="P288:P351" si="25">IF(O288=1,IF(M288&gt;0,L288/M288,0),0)</f>
        <v>0</v>
      </c>
    </row>
    <row r="289" spans="9:16" ht="15" customHeight="1" x14ac:dyDescent="0.35">
      <c r="I289" s="52">
        <v>258</v>
      </c>
      <c r="J289" s="53">
        <v>46280</v>
      </c>
      <c r="K289" s="54">
        <f t="shared" si="21"/>
        <v>9</v>
      </c>
      <c r="L289" s="55">
        <f t="shared" si="22"/>
        <v>15</v>
      </c>
      <c r="M289" s="56">
        <f t="shared" si="23"/>
        <v>3</v>
      </c>
      <c r="N289" s="54">
        <f t="shared" si="24"/>
        <v>15</v>
      </c>
      <c r="O289" s="52">
        <v>1</v>
      </c>
      <c r="P289" s="58">
        <f t="shared" si="25"/>
        <v>5</v>
      </c>
    </row>
    <row r="290" spans="9:16" ht="15" customHeight="1" x14ac:dyDescent="0.35">
      <c r="I290" s="52">
        <v>259</v>
      </c>
      <c r="J290" s="53">
        <v>46281</v>
      </c>
      <c r="K290" s="54">
        <f t="shared" si="21"/>
        <v>9</v>
      </c>
      <c r="L290" s="55">
        <f t="shared" si="22"/>
        <v>15</v>
      </c>
      <c r="M290" s="56">
        <f t="shared" si="23"/>
        <v>3</v>
      </c>
      <c r="N290" s="54">
        <f t="shared" si="24"/>
        <v>16</v>
      </c>
      <c r="O290" s="52">
        <v>0</v>
      </c>
      <c r="P290" s="57">
        <f t="shared" si="25"/>
        <v>0</v>
      </c>
    </row>
    <row r="291" spans="9:16" ht="15" customHeight="1" x14ac:dyDescent="0.35">
      <c r="I291" s="52">
        <v>260</v>
      </c>
      <c r="J291" s="53">
        <v>46282</v>
      </c>
      <c r="K291" s="54">
        <f t="shared" si="21"/>
        <v>9</v>
      </c>
      <c r="L291" s="55">
        <f t="shared" si="22"/>
        <v>15</v>
      </c>
      <c r="M291" s="56">
        <f t="shared" si="23"/>
        <v>3</v>
      </c>
      <c r="N291" s="54">
        <f t="shared" si="24"/>
        <v>17</v>
      </c>
      <c r="O291" s="52">
        <v>0</v>
      </c>
      <c r="P291" s="57">
        <f t="shared" si="25"/>
        <v>0</v>
      </c>
    </row>
    <row r="292" spans="9:16" ht="15" customHeight="1" x14ac:dyDescent="0.35">
      <c r="I292" s="52">
        <v>261</v>
      </c>
      <c r="J292" s="53">
        <v>46283</v>
      </c>
      <c r="K292" s="54">
        <f t="shared" si="21"/>
        <v>9</v>
      </c>
      <c r="L292" s="55">
        <f t="shared" si="22"/>
        <v>15</v>
      </c>
      <c r="M292" s="56">
        <f t="shared" si="23"/>
        <v>3</v>
      </c>
      <c r="N292" s="54">
        <f t="shared" si="24"/>
        <v>18</v>
      </c>
      <c r="O292" s="52">
        <v>0</v>
      </c>
      <c r="P292" s="57">
        <f t="shared" si="25"/>
        <v>0</v>
      </c>
    </row>
    <row r="293" spans="9:16" ht="15" customHeight="1" x14ac:dyDescent="0.35">
      <c r="I293" s="52">
        <v>262</v>
      </c>
      <c r="J293" s="53">
        <v>46284</v>
      </c>
      <c r="K293" s="54">
        <f t="shared" si="21"/>
        <v>9</v>
      </c>
      <c r="L293" s="55">
        <f t="shared" si="22"/>
        <v>15</v>
      </c>
      <c r="M293" s="56">
        <f t="shared" si="23"/>
        <v>3</v>
      </c>
      <c r="N293" s="54">
        <f t="shared" si="24"/>
        <v>19</v>
      </c>
      <c r="O293" s="52">
        <v>0</v>
      </c>
      <c r="P293" s="57">
        <f t="shared" si="25"/>
        <v>0</v>
      </c>
    </row>
    <row r="294" spans="9:16" ht="15" customHeight="1" x14ac:dyDescent="0.35">
      <c r="I294" s="52">
        <v>263</v>
      </c>
      <c r="J294" s="53">
        <v>46285</v>
      </c>
      <c r="K294" s="54">
        <f t="shared" si="21"/>
        <v>9</v>
      </c>
      <c r="L294" s="55">
        <f t="shared" si="22"/>
        <v>15</v>
      </c>
      <c r="M294" s="56">
        <f t="shared" si="23"/>
        <v>3</v>
      </c>
      <c r="N294" s="54">
        <f t="shared" si="24"/>
        <v>20</v>
      </c>
      <c r="O294" s="52">
        <v>0</v>
      </c>
      <c r="P294" s="57">
        <f t="shared" si="25"/>
        <v>0</v>
      </c>
    </row>
    <row r="295" spans="9:16" ht="15" customHeight="1" x14ac:dyDescent="0.35">
      <c r="I295" s="52">
        <v>264</v>
      </c>
      <c r="J295" s="53">
        <v>46286</v>
      </c>
      <c r="K295" s="54">
        <f t="shared" si="21"/>
        <v>9</v>
      </c>
      <c r="L295" s="55">
        <f t="shared" si="22"/>
        <v>15</v>
      </c>
      <c r="M295" s="56">
        <f t="shared" si="23"/>
        <v>3</v>
      </c>
      <c r="N295" s="54">
        <f t="shared" si="24"/>
        <v>21</v>
      </c>
      <c r="O295" s="52">
        <v>0</v>
      </c>
      <c r="P295" s="57">
        <f t="shared" si="25"/>
        <v>0</v>
      </c>
    </row>
    <row r="296" spans="9:16" ht="15" customHeight="1" x14ac:dyDescent="0.35">
      <c r="I296" s="52">
        <v>265</v>
      </c>
      <c r="J296" s="53">
        <v>46287</v>
      </c>
      <c r="K296" s="54">
        <f t="shared" si="21"/>
        <v>9</v>
      </c>
      <c r="L296" s="55">
        <f t="shared" si="22"/>
        <v>15</v>
      </c>
      <c r="M296" s="56">
        <f t="shared" si="23"/>
        <v>3</v>
      </c>
      <c r="N296" s="54">
        <f t="shared" si="24"/>
        <v>22</v>
      </c>
      <c r="O296" s="52">
        <v>1</v>
      </c>
      <c r="P296" s="58">
        <f t="shared" si="25"/>
        <v>5</v>
      </c>
    </row>
    <row r="297" spans="9:16" ht="15" customHeight="1" x14ac:dyDescent="0.35">
      <c r="I297" s="52">
        <v>266</v>
      </c>
      <c r="J297" s="53">
        <v>46288</v>
      </c>
      <c r="K297" s="54">
        <f t="shared" si="21"/>
        <v>9</v>
      </c>
      <c r="L297" s="55">
        <f t="shared" si="22"/>
        <v>15</v>
      </c>
      <c r="M297" s="56">
        <f t="shared" si="23"/>
        <v>3</v>
      </c>
      <c r="N297" s="54">
        <f t="shared" si="24"/>
        <v>23</v>
      </c>
      <c r="O297" s="52">
        <v>0</v>
      </c>
      <c r="P297" s="57">
        <f t="shared" si="25"/>
        <v>0</v>
      </c>
    </row>
    <row r="298" spans="9:16" ht="15" customHeight="1" x14ac:dyDescent="0.35">
      <c r="I298" s="52">
        <v>267</v>
      </c>
      <c r="J298" s="53">
        <v>46289</v>
      </c>
      <c r="K298" s="54">
        <f t="shared" si="21"/>
        <v>9</v>
      </c>
      <c r="L298" s="55">
        <f t="shared" si="22"/>
        <v>15</v>
      </c>
      <c r="M298" s="56">
        <f t="shared" si="23"/>
        <v>3</v>
      </c>
      <c r="N298" s="54">
        <f t="shared" si="24"/>
        <v>24</v>
      </c>
      <c r="O298" s="52">
        <v>0</v>
      </c>
      <c r="P298" s="57">
        <f t="shared" si="25"/>
        <v>0</v>
      </c>
    </row>
    <row r="299" spans="9:16" ht="15" customHeight="1" x14ac:dyDescent="0.35">
      <c r="I299" s="52">
        <v>268</v>
      </c>
      <c r="J299" s="53">
        <v>46290</v>
      </c>
      <c r="K299" s="54">
        <f t="shared" si="21"/>
        <v>9</v>
      </c>
      <c r="L299" s="55">
        <f t="shared" si="22"/>
        <v>15</v>
      </c>
      <c r="M299" s="56">
        <f t="shared" si="23"/>
        <v>3</v>
      </c>
      <c r="N299" s="54">
        <f t="shared" si="24"/>
        <v>25</v>
      </c>
      <c r="O299" s="52">
        <v>0</v>
      </c>
      <c r="P299" s="57">
        <f t="shared" si="25"/>
        <v>0</v>
      </c>
    </row>
    <row r="300" spans="9:16" ht="15" customHeight="1" x14ac:dyDescent="0.35">
      <c r="I300" s="52">
        <v>269</v>
      </c>
      <c r="J300" s="53">
        <v>46291</v>
      </c>
      <c r="K300" s="54">
        <f t="shared" si="21"/>
        <v>9</v>
      </c>
      <c r="L300" s="55">
        <f t="shared" si="22"/>
        <v>15</v>
      </c>
      <c r="M300" s="56">
        <f t="shared" si="23"/>
        <v>3</v>
      </c>
      <c r="N300" s="54">
        <f t="shared" si="24"/>
        <v>26</v>
      </c>
      <c r="O300" s="52">
        <v>0</v>
      </c>
      <c r="P300" s="57">
        <f t="shared" si="25"/>
        <v>0</v>
      </c>
    </row>
    <row r="301" spans="9:16" ht="15" customHeight="1" x14ac:dyDescent="0.35">
      <c r="I301" s="52">
        <v>270</v>
      </c>
      <c r="J301" s="53">
        <v>46292</v>
      </c>
      <c r="K301" s="54">
        <f t="shared" si="21"/>
        <v>9</v>
      </c>
      <c r="L301" s="55">
        <f t="shared" si="22"/>
        <v>15</v>
      </c>
      <c r="M301" s="56">
        <f t="shared" si="23"/>
        <v>3</v>
      </c>
      <c r="N301" s="54">
        <f t="shared" si="24"/>
        <v>27</v>
      </c>
      <c r="O301" s="52">
        <v>0</v>
      </c>
      <c r="P301" s="57">
        <f t="shared" si="25"/>
        <v>0</v>
      </c>
    </row>
    <row r="302" spans="9:16" ht="15" customHeight="1" x14ac:dyDescent="0.35">
      <c r="I302" s="52">
        <v>271</v>
      </c>
      <c r="J302" s="53">
        <v>46293</v>
      </c>
      <c r="K302" s="54">
        <f t="shared" si="21"/>
        <v>9</v>
      </c>
      <c r="L302" s="55">
        <f t="shared" si="22"/>
        <v>15</v>
      </c>
      <c r="M302" s="56">
        <f t="shared" si="23"/>
        <v>3</v>
      </c>
      <c r="N302" s="54">
        <f t="shared" si="24"/>
        <v>28</v>
      </c>
      <c r="O302" s="52">
        <v>0</v>
      </c>
      <c r="P302" s="57">
        <f t="shared" si="25"/>
        <v>0</v>
      </c>
    </row>
    <row r="303" spans="9:16" ht="15" customHeight="1" x14ac:dyDescent="0.35">
      <c r="I303" s="52">
        <v>272</v>
      </c>
      <c r="J303" s="53">
        <v>46294</v>
      </c>
      <c r="K303" s="54">
        <f t="shared" si="21"/>
        <v>9</v>
      </c>
      <c r="L303" s="55">
        <f t="shared" si="22"/>
        <v>15</v>
      </c>
      <c r="M303" s="56">
        <f t="shared" si="23"/>
        <v>3</v>
      </c>
      <c r="N303" s="54">
        <f t="shared" si="24"/>
        <v>29</v>
      </c>
      <c r="O303" s="52">
        <v>0</v>
      </c>
      <c r="P303" s="57">
        <f t="shared" si="25"/>
        <v>0</v>
      </c>
    </row>
    <row r="304" spans="9:16" ht="15" customHeight="1" x14ac:dyDescent="0.35">
      <c r="I304" s="52">
        <v>273</v>
      </c>
      <c r="J304" s="53">
        <v>46295</v>
      </c>
      <c r="K304" s="54">
        <f t="shared" si="21"/>
        <v>9</v>
      </c>
      <c r="L304" s="55">
        <f t="shared" si="22"/>
        <v>15</v>
      </c>
      <c r="M304" s="56">
        <f t="shared" si="23"/>
        <v>3</v>
      </c>
      <c r="N304" s="54">
        <f t="shared" si="24"/>
        <v>30</v>
      </c>
      <c r="O304" s="52">
        <v>0</v>
      </c>
      <c r="P304" s="57">
        <f t="shared" si="25"/>
        <v>0</v>
      </c>
    </row>
    <row r="305" spans="9:16" ht="15" customHeight="1" x14ac:dyDescent="0.35">
      <c r="I305" s="52">
        <v>274</v>
      </c>
      <c r="J305" s="53">
        <v>46296</v>
      </c>
      <c r="K305" s="54">
        <f t="shared" si="21"/>
        <v>10</v>
      </c>
      <c r="L305" s="55">
        <f t="shared" si="22"/>
        <v>2</v>
      </c>
      <c r="M305" s="56">
        <f t="shared" si="23"/>
        <v>1</v>
      </c>
      <c r="N305" s="54">
        <f t="shared" si="24"/>
        <v>1</v>
      </c>
      <c r="O305" s="52">
        <v>0</v>
      </c>
      <c r="P305" s="57">
        <f t="shared" si="25"/>
        <v>0</v>
      </c>
    </row>
    <row r="306" spans="9:16" ht="15" customHeight="1" x14ac:dyDescent="0.35">
      <c r="I306" s="52">
        <v>275</v>
      </c>
      <c r="J306" s="53">
        <v>46297</v>
      </c>
      <c r="K306" s="54">
        <f t="shared" si="21"/>
        <v>10</v>
      </c>
      <c r="L306" s="55">
        <f t="shared" si="22"/>
        <v>2</v>
      </c>
      <c r="M306" s="56">
        <f t="shared" si="23"/>
        <v>1</v>
      </c>
      <c r="N306" s="54">
        <f t="shared" si="24"/>
        <v>2</v>
      </c>
      <c r="O306" s="52">
        <v>0</v>
      </c>
      <c r="P306" s="57">
        <f t="shared" si="25"/>
        <v>0</v>
      </c>
    </row>
    <row r="307" spans="9:16" ht="15" customHeight="1" x14ac:dyDescent="0.35">
      <c r="I307" s="52">
        <v>276</v>
      </c>
      <c r="J307" s="53">
        <v>46298</v>
      </c>
      <c r="K307" s="54">
        <f t="shared" si="21"/>
        <v>10</v>
      </c>
      <c r="L307" s="55">
        <f t="shared" si="22"/>
        <v>2</v>
      </c>
      <c r="M307" s="56">
        <f t="shared" si="23"/>
        <v>1</v>
      </c>
      <c r="N307" s="54">
        <f t="shared" si="24"/>
        <v>3</v>
      </c>
      <c r="O307" s="52">
        <v>0</v>
      </c>
      <c r="P307" s="57">
        <f t="shared" si="25"/>
        <v>0</v>
      </c>
    </row>
    <row r="308" spans="9:16" ht="15" customHeight="1" x14ac:dyDescent="0.35">
      <c r="I308" s="52">
        <v>277</v>
      </c>
      <c r="J308" s="53">
        <v>46299</v>
      </c>
      <c r="K308" s="54">
        <f t="shared" si="21"/>
        <v>10</v>
      </c>
      <c r="L308" s="55">
        <f t="shared" si="22"/>
        <v>2</v>
      </c>
      <c r="M308" s="56">
        <f t="shared" si="23"/>
        <v>1</v>
      </c>
      <c r="N308" s="54">
        <f t="shared" si="24"/>
        <v>4</v>
      </c>
      <c r="O308" s="52">
        <v>0</v>
      </c>
      <c r="P308" s="57">
        <f t="shared" si="25"/>
        <v>0</v>
      </c>
    </row>
    <row r="309" spans="9:16" ht="15" customHeight="1" x14ac:dyDescent="0.35">
      <c r="I309" s="52">
        <v>278</v>
      </c>
      <c r="J309" s="53">
        <v>46300</v>
      </c>
      <c r="K309" s="54">
        <f t="shared" si="21"/>
        <v>10</v>
      </c>
      <c r="L309" s="55">
        <f t="shared" si="22"/>
        <v>2</v>
      </c>
      <c r="M309" s="56">
        <f t="shared" si="23"/>
        <v>1</v>
      </c>
      <c r="N309" s="54">
        <f t="shared" si="24"/>
        <v>5</v>
      </c>
      <c r="O309" s="52">
        <v>0</v>
      </c>
      <c r="P309" s="57">
        <f t="shared" si="25"/>
        <v>0</v>
      </c>
    </row>
    <row r="310" spans="9:16" ht="15" customHeight="1" x14ac:dyDescent="0.35">
      <c r="I310" s="52">
        <v>279</v>
      </c>
      <c r="J310" s="53">
        <v>46301</v>
      </c>
      <c r="K310" s="54">
        <f t="shared" si="21"/>
        <v>10</v>
      </c>
      <c r="L310" s="55">
        <f t="shared" si="22"/>
        <v>2</v>
      </c>
      <c r="M310" s="56">
        <f t="shared" si="23"/>
        <v>1</v>
      </c>
      <c r="N310" s="54">
        <f t="shared" si="24"/>
        <v>6</v>
      </c>
      <c r="O310" s="52">
        <v>0</v>
      </c>
      <c r="P310" s="57">
        <f t="shared" si="25"/>
        <v>0</v>
      </c>
    </row>
    <row r="311" spans="9:16" ht="15" customHeight="1" x14ac:dyDescent="0.35">
      <c r="I311" s="52">
        <v>280</v>
      </c>
      <c r="J311" s="53">
        <v>46302</v>
      </c>
      <c r="K311" s="54">
        <f t="shared" si="21"/>
        <v>10</v>
      </c>
      <c r="L311" s="55">
        <f t="shared" si="22"/>
        <v>2</v>
      </c>
      <c r="M311" s="56">
        <f t="shared" si="23"/>
        <v>1</v>
      </c>
      <c r="N311" s="54">
        <f t="shared" si="24"/>
        <v>7</v>
      </c>
      <c r="O311" s="52">
        <v>0</v>
      </c>
      <c r="P311" s="57">
        <f t="shared" si="25"/>
        <v>0</v>
      </c>
    </row>
    <row r="312" spans="9:16" ht="15" customHeight="1" x14ac:dyDescent="0.35">
      <c r="I312" s="52">
        <v>281</v>
      </c>
      <c r="J312" s="53">
        <v>46303</v>
      </c>
      <c r="K312" s="54">
        <f t="shared" si="21"/>
        <v>10</v>
      </c>
      <c r="L312" s="55">
        <f t="shared" si="22"/>
        <v>2</v>
      </c>
      <c r="M312" s="56">
        <f t="shared" si="23"/>
        <v>1</v>
      </c>
      <c r="N312" s="54">
        <f t="shared" si="24"/>
        <v>8</v>
      </c>
      <c r="O312" s="52">
        <v>0</v>
      </c>
      <c r="P312" s="57">
        <f t="shared" si="25"/>
        <v>0</v>
      </c>
    </row>
    <row r="313" spans="9:16" ht="15" customHeight="1" x14ac:dyDescent="0.35">
      <c r="I313" s="52">
        <v>282</v>
      </c>
      <c r="J313" s="53">
        <v>46304</v>
      </c>
      <c r="K313" s="54">
        <f t="shared" si="21"/>
        <v>10</v>
      </c>
      <c r="L313" s="55">
        <f t="shared" si="22"/>
        <v>2</v>
      </c>
      <c r="M313" s="56">
        <f t="shared" si="23"/>
        <v>1</v>
      </c>
      <c r="N313" s="54">
        <f t="shared" si="24"/>
        <v>9</v>
      </c>
      <c r="O313" s="52">
        <v>0</v>
      </c>
      <c r="P313" s="57">
        <f t="shared" si="25"/>
        <v>0</v>
      </c>
    </row>
    <row r="314" spans="9:16" ht="15" customHeight="1" x14ac:dyDescent="0.35">
      <c r="I314" s="52">
        <v>283</v>
      </c>
      <c r="J314" s="53">
        <v>46305</v>
      </c>
      <c r="K314" s="54">
        <f t="shared" si="21"/>
        <v>10</v>
      </c>
      <c r="L314" s="55">
        <f t="shared" si="22"/>
        <v>2</v>
      </c>
      <c r="M314" s="56">
        <f t="shared" si="23"/>
        <v>1</v>
      </c>
      <c r="N314" s="54">
        <f t="shared" si="24"/>
        <v>10</v>
      </c>
      <c r="O314" s="52">
        <v>0</v>
      </c>
      <c r="P314" s="57">
        <f t="shared" si="25"/>
        <v>0</v>
      </c>
    </row>
    <row r="315" spans="9:16" ht="15" customHeight="1" x14ac:dyDescent="0.35">
      <c r="I315" s="52">
        <v>284</v>
      </c>
      <c r="J315" s="53">
        <v>46306</v>
      </c>
      <c r="K315" s="54">
        <f t="shared" si="21"/>
        <v>10</v>
      </c>
      <c r="L315" s="55">
        <f t="shared" si="22"/>
        <v>2</v>
      </c>
      <c r="M315" s="56">
        <f t="shared" si="23"/>
        <v>1</v>
      </c>
      <c r="N315" s="54">
        <f t="shared" si="24"/>
        <v>11</v>
      </c>
      <c r="O315" s="52">
        <v>0</v>
      </c>
      <c r="P315" s="57">
        <f t="shared" si="25"/>
        <v>0</v>
      </c>
    </row>
    <row r="316" spans="9:16" ht="15" customHeight="1" x14ac:dyDescent="0.35">
      <c r="I316" s="52">
        <v>285</v>
      </c>
      <c r="J316" s="53">
        <v>46307</v>
      </c>
      <c r="K316" s="54">
        <f t="shared" si="21"/>
        <v>10</v>
      </c>
      <c r="L316" s="55">
        <f t="shared" si="22"/>
        <v>2</v>
      </c>
      <c r="M316" s="56">
        <f t="shared" si="23"/>
        <v>1</v>
      </c>
      <c r="N316" s="54">
        <f t="shared" si="24"/>
        <v>12</v>
      </c>
      <c r="O316" s="52">
        <v>0</v>
      </c>
      <c r="P316" s="57">
        <f t="shared" si="25"/>
        <v>0</v>
      </c>
    </row>
    <row r="317" spans="9:16" ht="15" customHeight="1" x14ac:dyDescent="0.35">
      <c r="I317" s="52">
        <v>286</v>
      </c>
      <c r="J317" s="53">
        <v>46308</v>
      </c>
      <c r="K317" s="54">
        <f t="shared" si="21"/>
        <v>10</v>
      </c>
      <c r="L317" s="55">
        <f t="shared" si="22"/>
        <v>2</v>
      </c>
      <c r="M317" s="56">
        <f t="shared" si="23"/>
        <v>1</v>
      </c>
      <c r="N317" s="54">
        <f t="shared" si="24"/>
        <v>13</v>
      </c>
      <c r="O317" s="52">
        <v>0</v>
      </c>
      <c r="P317" s="57">
        <f t="shared" si="25"/>
        <v>0</v>
      </c>
    </row>
    <row r="318" spans="9:16" ht="15" customHeight="1" x14ac:dyDescent="0.35">
      <c r="I318" s="52">
        <v>287</v>
      </c>
      <c r="J318" s="53">
        <v>46309</v>
      </c>
      <c r="K318" s="54">
        <f t="shared" si="21"/>
        <v>10</v>
      </c>
      <c r="L318" s="55">
        <f t="shared" si="22"/>
        <v>2</v>
      </c>
      <c r="M318" s="56">
        <f t="shared" si="23"/>
        <v>1</v>
      </c>
      <c r="N318" s="54">
        <f t="shared" si="24"/>
        <v>14</v>
      </c>
      <c r="O318" s="52">
        <v>0</v>
      </c>
      <c r="P318" s="57">
        <f t="shared" si="25"/>
        <v>0</v>
      </c>
    </row>
    <row r="319" spans="9:16" ht="15" customHeight="1" x14ac:dyDescent="0.35">
      <c r="I319" s="52">
        <v>288</v>
      </c>
      <c r="J319" s="53">
        <v>46310</v>
      </c>
      <c r="K319" s="54">
        <f t="shared" si="21"/>
        <v>10</v>
      </c>
      <c r="L319" s="55">
        <f t="shared" si="22"/>
        <v>2</v>
      </c>
      <c r="M319" s="56">
        <f t="shared" si="23"/>
        <v>1</v>
      </c>
      <c r="N319" s="54">
        <f t="shared" si="24"/>
        <v>15</v>
      </c>
      <c r="O319" s="52">
        <v>0</v>
      </c>
      <c r="P319" s="57">
        <f t="shared" si="25"/>
        <v>0</v>
      </c>
    </row>
    <row r="320" spans="9:16" ht="15" customHeight="1" x14ac:dyDescent="0.35">
      <c r="I320" s="52">
        <v>289</v>
      </c>
      <c r="J320" s="53">
        <v>46311</v>
      </c>
      <c r="K320" s="54">
        <f t="shared" si="21"/>
        <v>10</v>
      </c>
      <c r="L320" s="55">
        <f t="shared" si="22"/>
        <v>2</v>
      </c>
      <c r="M320" s="56">
        <f t="shared" si="23"/>
        <v>1</v>
      </c>
      <c r="N320" s="54">
        <f t="shared" si="24"/>
        <v>16</v>
      </c>
      <c r="O320" s="52">
        <v>1</v>
      </c>
      <c r="P320" s="58">
        <f t="shared" si="25"/>
        <v>2</v>
      </c>
    </row>
    <row r="321" spans="9:16" ht="15" customHeight="1" x14ac:dyDescent="0.35">
      <c r="I321" s="52">
        <v>290</v>
      </c>
      <c r="J321" s="53">
        <v>46312</v>
      </c>
      <c r="K321" s="54">
        <f t="shared" si="21"/>
        <v>10</v>
      </c>
      <c r="L321" s="55">
        <f t="shared" si="22"/>
        <v>2</v>
      </c>
      <c r="M321" s="56">
        <f t="shared" si="23"/>
        <v>1</v>
      </c>
      <c r="N321" s="54">
        <f t="shared" si="24"/>
        <v>17</v>
      </c>
      <c r="O321" s="52">
        <v>0</v>
      </c>
      <c r="P321" s="57">
        <f t="shared" si="25"/>
        <v>0</v>
      </c>
    </row>
    <row r="322" spans="9:16" ht="15" customHeight="1" x14ac:dyDescent="0.35">
      <c r="I322" s="52">
        <v>291</v>
      </c>
      <c r="J322" s="53">
        <v>46313</v>
      </c>
      <c r="K322" s="54">
        <f t="shared" si="21"/>
        <v>10</v>
      </c>
      <c r="L322" s="55">
        <f t="shared" si="22"/>
        <v>2</v>
      </c>
      <c r="M322" s="56">
        <f t="shared" si="23"/>
        <v>1</v>
      </c>
      <c r="N322" s="54">
        <f t="shared" si="24"/>
        <v>18</v>
      </c>
      <c r="O322" s="52">
        <v>0</v>
      </c>
      <c r="P322" s="57">
        <f t="shared" si="25"/>
        <v>0</v>
      </c>
    </row>
    <row r="323" spans="9:16" ht="15" customHeight="1" x14ac:dyDescent="0.35">
      <c r="I323" s="52">
        <v>292</v>
      </c>
      <c r="J323" s="53">
        <v>46314</v>
      </c>
      <c r="K323" s="54">
        <f t="shared" si="21"/>
        <v>10</v>
      </c>
      <c r="L323" s="55">
        <f t="shared" si="22"/>
        <v>2</v>
      </c>
      <c r="M323" s="56">
        <f t="shared" si="23"/>
        <v>1</v>
      </c>
      <c r="N323" s="54">
        <f t="shared" si="24"/>
        <v>19</v>
      </c>
      <c r="O323" s="52">
        <v>0</v>
      </c>
      <c r="P323" s="57">
        <f t="shared" si="25"/>
        <v>0</v>
      </c>
    </row>
    <row r="324" spans="9:16" ht="15" customHeight="1" x14ac:dyDescent="0.35">
      <c r="I324" s="52">
        <v>293</v>
      </c>
      <c r="J324" s="53">
        <v>46315</v>
      </c>
      <c r="K324" s="54">
        <f t="shared" si="21"/>
        <v>10</v>
      </c>
      <c r="L324" s="55">
        <f t="shared" si="22"/>
        <v>2</v>
      </c>
      <c r="M324" s="56">
        <f t="shared" si="23"/>
        <v>1</v>
      </c>
      <c r="N324" s="54">
        <f t="shared" si="24"/>
        <v>20</v>
      </c>
      <c r="O324" s="52">
        <v>0</v>
      </c>
      <c r="P324" s="57">
        <f t="shared" si="25"/>
        <v>0</v>
      </c>
    </row>
    <row r="325" spans="9:16" ht="15" customHeight="1" x14ac:dyDescent="0.35">
      <c r="I325" s="52">
        <v>294</v>
      </c>
      <c r="J325" s="53">
        <v>46316</v>
      </c>
      <c r="K325" s="54">
        <f t="shared" si="21"/>
        <v>10</v>
      </c>
      <c r="L325" s="55">
        <f t="shared" si="22"/>
        <v>2</v>
      </c>
      <c r="M325" s="56">
        <f t="shared" si="23"/>
        <v>1</v>
      </c>
      <c r="N325" s="54">
        <f t="shared" si="24"/>
        <v>21</v>
      </c>
      <c r="O325" s="52">
        <v>0</v>
      </c>
      <c r="P325" s="57">
        <f t="shared" si="25"/>
        <v>0</v>
      </c>
    </row>
    <row r="326" spans="9:16" ht="15" customHeight="1" x14ac:dyDescent="0.35">
      <c r="I326" s="52">
        <v>295</v>
      </c>
      <c r="J326" s="53">
        <v>46317</v>
      </c>
      <c r="K326" s="54">
        <f t="shared" si="21"/>
        <v>10</v>
      </c>
      <c r="L326" s="55">
        <f t="shared" si="22"/>
        <v>2</v>
      </c>
      <c r="M326" s="56">
        <f t="shared" si="23"/>
        <v>1</v>
      </c>
      <c r="N326" s="54">
        <f t="shared" si="24"/>
        <v>22</v>
      </c>
      <c r="O326" s="52">
        <v>0</v>
      </c>
      <c r="P326" s="57">
        <f t="shared" si="25"/>
        <v>0</v>
      </c>
    </row>
    <row r="327" spans="9:16" ht="15" customHeight="1" x14ac:dyDescent="0.35">
      <c r="I327" s="52">
        <v>296</v>
      </c>
      <c r="J327" s="53">
        <v>46318</v>
      </c>
      <c r="K327" s="54">
        <f t="shared" si="21"/>
        <v>10</v>
      </c>
      <c r="L327" s="55">
        <f t="shared" si="22"/>
        <v>2</v>
      </c>
      <c r="M327" s="56">
        <f t="shared" si="23"/>
        <v>1</v>
      </c>
      <c r="N327" s="54">
        <f t="shared" si="24"/>
        <v>23</v>
      </c>
      <c r="O327" s="52">
        <v>0</v>
      </c>
      <c r="P327" s="57">
        <f t="shared" si="25"/>
        <v>0</v>
      </c>
    </row>
    <row r="328" spans="9:16" ht="15" customHeight="1" x14ac:dyDescent="0.35">
      <c r="I328" s="52">
        <v>297</v>
      </c>
      <c r="J328" s="53">
        <v>46319</v>
      </c>
      <c r="K328" s="54">
        <f t="shared" si="21"/>
        <v>10</v>
      </c>
      <c r="L328" s="55">
        <f t="shared" si="22"/>
        <v>2</v>
      </c>
      <c r="M328" s="56">
        <f t="shared" si="23"/>
        <v>1</v>
      </c>
      <c r="N328" s="54">
        <f t="shared" si="24"/>
        <v>24</v>
      </c>
      <c r="O328" s="52">
        <v>0</v>
      </c>
      <c r="P328" s="57">
        <f t="shared" si="25"/>
        <v>0</v>
      </c>
    </row>
    <row r="329" spans="9:16" ht="15" customHeight="1" x14ac:dyDescent="0.35">
      <c r="I329" s="52">
        <v>298</v>
      </c>
      <c r="J329" s="53">
        <v>46320</v>
      </c>
      <c r="K329" s="54">
        <f t="shared" si="21"/>
        <v>10</v>
      </c>
      <c r="L329" s="55">
        <f t="shared" si="22"/>
        <v>2</v>
      </c>
      <c r="M329" s="56">
        <f t="shared" si="23"/>
        <v>1</v>
      </c>
      <c r="N329" s="54">
        <f t="shared" si="24"/>
        <v>25</v>
      </c>
      <c r="O329" s="52">
        <v>0</v>
      </c>
      <c r="P329" s="57">
        <f t="shared" si="25"/>
        <v>0</v>
      </c>
    </row>
    <row r="330" spans="9:16" ht="15" customHeight="1" x14ac:dyDescent="0.35">
      <c r="I330" s="52">
        <v>299</v>
      </c>
      <c r="J330" s="53">
        <v>46321</v>
      </c>
      <c r="K330" s="54">
        <f t="shared" si="21"/>
        <v>10</v>
      </c>
      <c r="L330" s="55">
        <f t="shared" si="22"/>
        <v>2</v>
      </c>
      <c r="M330" s="56">
        <f t="shared" si="23"/>
        <v>1</v>
      </c>
      <c r="N330" s="54">
        <f t="shared" si="24"/>
        <v>26</v>
      </c>
      <c r="O330" s="52">
        <v>0</v>
      </c>
      <c r="P330" s="57">
        <f t="shared" si="25"/>
        <v>0</v>
      </c>
    </row>
    <row r="331" spans="9:16" ht="15" customHeight="1" x14ac:dyDescent="0.35">
      <c r="I331" s="52">
        <v>300</v>
      </c>
      <c r="J331" s="53">
        <v>46322</v>
      </c>
      <c r="K331" s="54">
        <f t="shared" si="21"/>
        <v>10</v>
      </c>
      <c r="L331" s="55">
        <f t="shared" si="22"/>
        <v>2</v>
      </c>
      <c r="M331" s="56">
        <f t="shared" si="23"/>
        <v>1</v>
      </c>
      <c r="N331" s="54">
        <f t="shared" si="24"/>
        <v>27</v>
      </c>
      <c r="O331" s="52">
        <v>0</v>
      </c>
      <c r="P331" s="57">
        <f t="shared" si="25"/>
        <v>0</v>
      </c>
    </row>
    <row r="332" spans="9:16" ht="15" customHeight="1" x14ac:dyDescent="0.35">
      <c r="I332" s="52">
        <v>301</v>
      </c>
      <c r="J332" s="53">
        <v>46323</v>
      </c>
      <c r="K332" s="54">
        <f t="shared" si="21"/>
        <v>10</v>
      </c>
      <c r="L332" s="55">
        <f t="shared" si="22"/>
        <v>2</v>
      </c>
      <c r="M332" s="56">
        <f t="shared" si="23"/>
        <v>1</v>
      </c>
      <c r="N332" s="54">
        <f t="shared" si="24"/>
        <v>28</v>
      </c>
      <c r="O332" s="52">
        <v>0</v>
      </c>
      <c r="P332" s="57">
        <f t="shared" si="25"/>
        <v>0</v>
      </c>
    </row>
    <row r="333" spans="9:16" ht="15" customHeight="1" x14ac:dyDescent="0.35">
      <c r="I333" s="52">
        <v>302</v>
      </c>
      <c r="J333" s="53">
        <v>46324</v>
      </c>
      <c r="K333" s="54">
        <f t="shared" si="21"/>
        <v>10</v>
      </c>
      <c r="L333" s="55">
        <f t="shared" si="22"/>
        <v>2</v>
      </c>
      <c r="M333" s="56">
        <f t="shared" si="23"/>
        <v>1</v>
      </c>
      <c r="N333" s="54">
        <f t="shared" si="24"/>
        <v>29</v>
      </c>
      <c r="O333" s="52">
        <v>0</v>
      </c>
      <c r="P333" s="57">
        <f t="shared" si="25"/>
        <v>0</v>
      </c>
    </row>
    <row r="334" spans="9:16" ht="15" customHeight="1" x14ac:dyDescent="0.35">
      <c r="I334" s="52">
        <v>303</v>
      </c>
      <c r="J334" s="53">
        <v>46325</v>
      </c>
      <c r="K334" s="54">
        <f t="shared" si="21"/>
        <v>10</v>
      </c>
      <c r="L334" s="55">
        <f t="shared" si="22"/>
        <v>2</v>
      </c>
      <c r="M334" s="56">
        <f t="shared" si="23"/>
        <v>1</v>
      </c>
      <c r="N334" s="54">
        <f t="shared" si="24"/>
        <v>30</v>
      </c>
      <c r="O334" s="52">
        <v>0</v>
      </c>
      <c r="P334" s="57">
        <f t="shared" si="25"/>
        <v>0</v>
      </c>
    </row>
    <row r="335" spans="9:16" ht="15" customHeight="1" x14ac:dyDescent="0.35">
      <c r="I335" s="52">
        <v>304</v>
      </c>
      <c r="J335" s="53">
        <v>46326</v>
      </c>
      <c r="K335" s="54">
        <f t="shared" si="21"/>
        <v>10</v>
      </c>
      <c r="L335" s="55">
        <f t="shared" si="22"/>
        <v>2</v>
      </c>
      <c r="M335" s="56">
        <f t="shared" si="23"/>
        <v>1</v>
      </c>
      <c r="N335" s="54">
        <f t="shared" si="24"/>
        <v>31</v>
      </c>
      <c r="O335" s="52">
        <v>0</v>
      </c>
      <c r="P335" s="57">
        <f t="shared" si="25"/>
        <v>0</v>
      </c>
    </row>
    <row r="336" spans="9:16" ht="15" customHeight="1" x14ac:dyDescent="0.35">
      <c r="I336" s="52">
        <v>305</v>
      </c>
      <c r="J336" s="53">
        <v>46327</v>
      </c>
      <c r="K336" s="54">
        <f t="shared" si="21"/>
        <v>11</v>
      </c>
      <c r="L336" s="55">
        <f t="shared" si="22"/>
        <v>2</v>
      </c>
      <c r="M336" s="56">
        <f t="shared" si="23"/>
        <v>1</v>
      </c>
      <c r="N336" s="54">
        <f t="shared" si="24"/>
        <v>1</v>
      </c>
      <c r="O336" s="52">
        <v>0</v>
      </c>
      <c r="P336" s="57">
        <f t="shared" si="25"/>
        <v>0</v>
      </c>
    </row>
    <row r="337" spans="9:16" ht="15" customHeight="1" x14ac:dyDescent="0.35">
      <c r="I337" s="52">
        <v>306</v>
      </c>
      <c r="J337" s="53">
        <v>46328</v>
      </c>
      <c r="K337" s="54">
        <f t="shared" si="21"/>
        <v>11</v>
      </c>
      <c r="L337" s="55">
        <f t="shared" si="22"/>
        <v>2</v>
      </c>
      <c r="M337" s="56">
        <f t="shared" si="23"/>
        <v>1</v>
      </c>
      <c r="N337" s="54">
        <f t="shared" si="24"/>
        <v>2</v>
      </c>
      <c r="O337" s="52">
        <v>0</v>
      </c>
      <c r="P337" s="57">
        <f t="shared" si="25"/>
        <v>0</v>
      </c>
    </row>
    <row r="338" spans="9:16" ht="15" customHeight="1" x14ac:dyDescent="0.35">
      <c r="I338" s="52">
        <v>307</v>
      </c>
      <c r="J338" s="53">
        <v>46329</v>
      </c>
      <c r="K338" s="54">
        <f t="shared" si="21"/>
        <v>11</v>
      </c>
      <c r="L338" s="55">
        <f t="shared" si="22"/>
        <v>2</v>
      </c>
      <c r="M338" s="56">
        <f t="shared" si="23"/>
        <v>1</v>
      </c>
      <c r="N338" s="54">
        <f t="shared" si="24"/>
        <v>3</v>
      </c>
      <c r="O338" s="52">
        <v>0</v>
      </c>
      <c r="P338" s="57">
        <f t="shared" si="25"/>
        <v>0</v>
      </c>
    </row>
    <row r="339" spans="9:16" ht="15" customHeight="1" x14ac:dyDescent="0.35">
      <c r="I339" s="52">
        <v>308</v>
      </c>
      <c r="J339" s="53">
        <v>46330</v>
      </c>
      <c r="K339" s="54">
        <f t="shared" si="21"/>
        <v>11</v>
      </c>
      <c r="L339" s="55">
        <f t="shared" si="22"/>
        <v>2</v>
      </c>
      <c r="M339" s="56">
        <f t="shared" si="23"/>
        <v>1</v>
      </c>
      <c r="N339" s="54">
        <f t="shared" si="24"/>
        <v>4</v>
      </c>
      <c r="O339" s="52">
        <v>0</v>
      </c>
      <c r="P339" s="57">
        <f t="shared" si="25"/>
        <v>0</v>
      </c>
    </row>
    <row r="340" spans="9:16" ht="15" customHeight="1" x14ac:dyDescent="0.35">
      <c r="I340" s="52">
        <v>309</v>
      </c>
      <c r="J340" s="53">
        <v>46331</v>
      </c>
      <c r="K340" s="54">
        <f t="shared" si="21"/>
        <v>11</v>
      </c>
      <c r="L340" s="55">
        <f t="shared" si="22"/>
        <v>2</v>
      </c>
      <c r="M340" s="56">
        <f t="shared" si="23"/>
        <v>1</v>
      </c>
      <c r="N340" s="54">
        <f t="shared" si="24"/>
        <v>5</v>
      </c>
      <c r="O340" s="52">
        <v>0</v>
      </c>
      <c r="P340" s="57">
        <f t="shared" si="25"/>
        <v>0</v>
      </c>
    </row>
    <row r="341" spans="9:16" ht="15" customHeight="1" x14ac:dyDescent="0.35">
      <c r="I341" s="52">
        <v>310</v>
      </c>
      <c r="J341" s="53">
        <v>46332</v>
      </c>
      <c r="K341" s="54">
        <f t="shared" si="21"/>
        <v>11</v>
      </c>
      <c r="L341" s="55">
        <f t="shared" si="22"/>
        <v>2</v>
      </c>
      <c r="M341" s="56">
        <f t="shared" si="23"/>
        <v>1</v>
      </c>
      <c r="N341" s="54">
        <f t="shared" si="24"/>
        <v>6</v>
      </c>
      <c r="O341" s="52">
        <v>0</v>
      </c>
      <c r="P341" s="57">
        <f t="shared" si="25"/>
        <v>0</v>
      </c>
    </row>
    <row r="342" spans="9:16" ht="15" customHeight="1" x14ac:dyDescent="0.35">
      <c r="I342" s="52">
        <v>311</v>
      </c>
      <c r="J342" s="53">
        <v>46333</v>
      </c>
      <c r="K342" s="54">
        <f t="shared" si="21"/>
        <v>11</v>
      </c>
      <c r="L342" s="55">
        <f t="shared" si="22"/>
        <v>2</v>
      </c>
      <c r="M342" s="56">
        <f t="shared" si="23"/>
        <v>1</v>
      </c>
      <c r="N342" s="54">
        <f t="shared" si="24"/>
        <v>7</v>
      </c>
      <c r="O342" s="52">
        <v>0</v>
      </c>
      <c r="P342" s="57">
        <f t="shared" si="25"/>
        <v>0</v>
      </c>
    </row>
    <row r="343" spans="9:16" ht="15" customHeight="1" x14ac:dyDescent="0.35">
      <c r="I343" s="52">
        <v>312</v>
      </c>
      <c r="J343" s="53">
        <v>46334</v>
      </c>
      <c r="K343" s="54">
        <f t="shared" si="21"/>
        <v>11</v>
      </c>
      <c r="L343" s="55">
        <f t="shared" si="22"/>
        <v>2</v>
      </c>
      <c r="M343" s="56">
        <f t="shared" si="23"/>
        <v>1</v>
      </c>
      <c r="N343" s="54">
        <f t="shared" si="24"/>
        <v>8</v>
      </c>
      <c r="O343" s="52">
        <v>0</v>
      </c>
      <c r="P343" s="57">
        <f t="shared" si="25"/>
        <v>0</v>
      </c>
    </row>
    <row r="344" spans="9:16" ht="15" customHeight="1" x14ac:dyDescent="0.35">
      <c r="I344" s="52">
        <v>313</v>
      </c>
      <c r="J344" s="53">
        <v>46335</v>
      </c>
      <c r="K344" s="54">
        <f t="shared" si="21"/>
        <v>11</v>
      </c>
      <c r="L344" s="55">
        <f t="shared" si="22"/>
        <v>2</v>
      </c>
      <c r="M344" s="56">
        <f t="shared" si="23"/>
        <v>1</v>
      </c>
      <c r="N344" s="54">
        <f t="shared" si="24"/>
        <v>9</v>
      </c>
      <c r="O344" s="52">
        <v>0</v>
      </c>
      <c r="P344" s="57">
        <f t="shared" si="25"/>
        <v>0</v>
      </c>
    </row>
    <row r="345" spans="9:16" ht="15" customHeight="1" x14ac:dyDescent="0.35">
      <c r="I345" s="52">
        <v>314</v>
      </c>
      <c r="J345" s="53">
        <v>46336</v>
      </c>
      <c r="K345" s="54">
        <f t="shared" si="21"/>
        <v>11</v>
      </c>
      <c r="L345" s="55">
        <f t="shared" si="22"/>
        <v>2</v>
      </c>
      <c r="M345" s="56">
        <f t="shared" si="23"/>
        <v>1</v>
      </c>
      <c r="N345" s="54">
        <f t="shared" si="24"/>
        <v>10</v>
      </c>
      <c r="O345" s="52">
        <v>0</v>
      </c>
      <c r="P345" s="57">
        <f t="shared" si="25"/>
        <v>0</v>
      </c>
    </row>
    <row r="346" spans="9:16" ht="15" customHeight="1" x14ac:dyDescent="0.35">
      <c r="I346" s="52">
        <v>315</v>
      </c>
      <c r="J346" s="53">
        <v>46337</v>
      </c>
      <c r="K346" s="54">
        <f t="shared" si="21"/>
        <v>11</v>
      </c>
      <c r="L346" s="55">
        <f t="shared" si="22"/>
        <v>2</v>
      </c>
      <c r="M346" s="56">
        <f t="shared" si="23"/>
        <v>1</v>
      </c>
      <c r="N346" s="54">
        <f t="shared" si="24"/>
        <v>11</v>
      </c>
      <c r="O346" s="52">
        <v>0</v>
      </c>
      <c r="P346" s="57">
        <f t="shared" si="25"/>
        <v>0</v>
      </c>
    </row>
    <row r="347" spans="9:16" ht="15" customHeight="1" x14ac:dyDescent="0.35">
      <c r="I347" s="52">
        <v>316</v>
      </c>
      <c r="J347" s="53">
        <v>46338</v>
      </c>
      <c r="K347" s="54">
        <f t="shared" si="21"/>
        <v>11</v>
      </c>
      <c r="L347" s="55">
        <f t="shared" si="22"/>
        <v>2</v>
      </c>
      <c r="M347" s="56">
        <f t="shared" si="23"/>
        <v>1</v>
      </c>
      <c r="N347" s="54">
        <f t="shared" si="24"/>
        <v>12</v>
      </c>
      <c r="O347" s="52">
        <v>0</v>
      </c>
      <c r="P347" s="57">
        <f t="shared" si="25"/>
        <v>0</v>
      </c>
    </row>
    <row r="348" spans="9:16" ht="15" customHeight="1" x14ac:dyDescent="0.35">
      <c r="I348" s="52">
        <v>317</v>
      </c>
      <c r="J348" s="53">
        <v>46339</v>
      </c>
      <c r="K348" s="54">
        <f t="shared" si="21"/>
        <v>11</v>
      </c>
      <c r="L348" s="55">
        <f t="shared" si="22"/>
        <v>2</v>
      </c>
      <c r="M348" s="56">
        <f t="shared" si="23"/>
        <v>1</v>
      </c>
      <c r="N348" s="54">
        <f t="shared" si="24"/>
        <v>13</v>
      </c>
      <c r="O348" s="52">
        <v>0</v>
      </c>
      <c r="P348" s="57">
        <f t="shared" si="25"/>
        <v>0</v>
      </c>
    </row>
    <row r="349" spans="9:16" ht="15" customHeight="1" x14ac:dyDescent="0.35">
      <c r="I349" s="52">
        <v>318</v>
      </c>
      <c r="J349" s="53">
        <v>46340</v>
      </c>
      <c r="K349" s="54">
        <f t="shared" si="21"/>
        <v>11</v>
      </c>
      <c r="L349" s="55">
        <f t="shared" si="22"/>
        <v>2</v>
      </c>
      <c r="M349" s="56">
        <f t="shared" si="23"/>
        <v>1</v>
      </c>
      <c r="N349" s="54">
        <f t="shared" si="24"/>
        <v>14</v>
      </c>
      <c r="O349" s="52">
        <v>0</v>
      </c>
      <c r="P349" s="57">
        <f t="shared" si="25"/>
        <v>0</v>
      </c>
    </row>
    <row r="350" spans="9:16" ht="15" customHeight="1" x14ac:dyDescent="0.35">
      <c r="I350" s="52">
        <v>319</v>
      </c>
      <c r="J350" s="53">
        <v>46341</v>
      </c>
      <c r="K350" s="54">
        <f t="shared" si="21"/>
        <v>11</v>
      </c>
      <c r="L350" s="55">
        <f t="shared" si="22"/>
        <v>2</v>
      </c>
      <c r="M350" s="56">
        <f t="shared" si="23"/>
        <v>1</v>
      </c>
      <c r="N350" s="54">
        <f t="shared" si="24"/>
        <v>15</v>
      </c>
      <c r="O350" s="52">
        <v>1</v>
      </c>
      <c r="P350" s="58">
        <f t="shared" si="25"/>
        <v>2</v>
      </c>
    </row>
    <row r="351" spans="9:16" ht="15" customHeight="1" x14ac:dyDescent="0.35">
      <c r="I351" s="52">
        <v>320</v>
      </c>
      <c r="J351" s="53">
        <v>46342</v>
      </c>
      <c r="K351" s="54">
        <f t="shared" si="21"/>
        <v>11</v>
      </c>
      <c r="L351" s="55">
        <f t="shared" si="22"/>
        <v>2</v>
      </c>
      <c r="M351" s="56">
        <f t="shared" si="23"/>
        <v>1</v>
      </c>
      <c r="N351" s="54">
        <f t="shared" si="24"/>
        <v>16</v>
      </c>
      <c r="O351" s="52">
        <v>0</v>
      </c>
      <c r="P351" s="57">
        <f t="shared" si="25"/>
        <v>0</v>
      </c>
    </row>
    <row r="352" spans="9:16" ht="15" customHeight="1" x14ac:dyDescent="0.35">
      <c r="I352" s="52">
        <v>321</v>
      </c>
      <c r="J352" s="53">
        <v>46343</v>
      </c>
      <c r="K352" s="54">
        <f t="shared" ref="K352:K415" si="26">MONTH(J352)</f>
        <v>11</v>
      </c>
      <c r="L352" s="55">
        <f t="shared" ref="L352:L415" si="27">INDEX($C$15:$C$26,K352)</f>
        <v>2</v>
      </c>
      <c r="M352" s="56">
        <f t="shared" ref="M352:M396" si="28">INDEX($D$15:$D$26,K352)</f>
        <v>1</v>
      </c>
      <c r="N352" s="54">
        <f t="shared" ref="N352:N396" si="29">DAY(J352)</f>
        <v>17</v>
      </c>
      <c r="O352" s="52">
        <v>0</v>
      </c>
      <c r="P352" s="57">
        <f t="shared" ref="P352:P415" si="30">IF(O352=1,IF(M352&gt;0,L352/M352,0),0)</f>
        <v>0</v>
      </c>
    </row>
    <row r="353" spans="9:16" ht="15" customHeight="1" x14ac:dyDescent="0.35">
      <c r="I353" s="52">
        <v>322</v>
      </c>
      <c r="J353" s="53">
        <v>46344</v>
      </c>
      <c r="K353" s="54">
        <f t="shared" si="26"/>
        <v>11</v>
      </c>
      <c r="L353" s="55">
        <f t="shared" si="27"/>
        <v>2</v>
      </c>
      <c r="M353" s="56">
        <f t="shared" si="28"/>
        <v>1</v>
      </c>
      <c r="N353" s="54">
        <f t="shared" si="29"/>
        <v>18</v>
      </c>
      <c r="O353" s="52">
        <v>0</v>
      </c>
      <c r="P353" s="57">
        <f t="shared" si="30"/>
        <v>0</v>
      </c>
    </row>
    <row r="354" spans="9:16" ht="15" customHeight="1" x14ac:dyDescent="0.35">
      <c r="I354" s="52">
        <v>323</v>
      </c>
      <c r="J354" s="53">
        <v>46345</v>
      </c>
      <c r="K354" s="54">
        <f t="shared" si="26"/>
        <v>11</v>
      </c>
      <c r="L354" s="55">
        <f t="shared" si="27"/>
        <v>2</v>
      </c>
      <c r="M354" s="56">
        <f t="shared" si="28"/>
        <v>1</v>
      </c>
      <c r="N354" s="54">
        <f t="shared" si="29"/>
        <v>19</v>
      </c>
      <c r="O354" s="52">
        <v>0</v>
      </c>
      <c r="P354" s="57">
        <f t="shared" si="30"/>
        <v>0</v>
      </c>
    </row>
    <row r="355" spans="9:16" ht="15" customHeight="1" x14ac:dyDescent="0.35">
      <c r="I355" s="52">
        <v>324</v>
      </c>
      <c r="J355" s="53">
        <v>46346</v>
      </c>
      <c r="K355" s="54">
        <f t="shared" si="26"/>
        <v>11</v>
      </c>
      <c r="L355" s="55">
        <f t="shared" si="27"/>
        <v>2</v>
      </c>
      <c r="M355" s="56">
        <f t="shared" si="28"/>
        <v>1</v>
      </c>
      <c r="N355" s="54">
        <f t="shared" si="29"/>
        <v>20</v>
      </c>
      <c r="O355" s="52">
        <v>0</v>
      </c>
      <c r="P355" s="57">
        <f t="shared" si="30"/>
        <v>0</v>
      </c>
    </row>
    <row r="356" spans="9:16" ht="15" customHeight="1" x14ac:dyDescent="0.35">
      <c r="I356" s="52">
        <v>325</v>
      </c>
      <c r="J356" s="53">
        <v>46347</v>
      </c>
      <c r="K356" s="54">
        <f t="shared" si="26"/>
        <v>11</v>
      </c>
      <c r="L356" s="55">
        <f t="shared" si="27"/>
        <v>2</v>
      </c>
      <c r="M356" s="56">
        <f t="shared" si="28"/>
        <v>1</v>
      </c>
      <c r="N356" s="54">
        <f t="shared" si="29"/>
        <v>21</v>
      </c>
      <c r="O356" s="52">
        <v>0</v>
      </c>
      <c r="P356" s="57">
        <f t="shared" si="30"/>
        <v>0</v>
      </c>
    </row>
    <row r="357" spans="9:16" ht="15" customHeight="1" x14ac:dyDescent="0.35">
      <c r="I357" s="52">
        <v>326</v>
      </c>
      <c r="J357" s="53">
        <v>46348</v>
      </c>
      <c r="K357" s="54">
        <f t="shared" si="26"/>
        <v>11</v>
      </c>
      <c r="L357" s="55">
        <f t="shared" si="27"/>
        <v>2</v>
      </c>
      <c r="M357" s="56">
        <f t="shared" si="28"/>
        <v>1</v>
      </c>
      <c r="N357" s="54">
        <f t="shared" si="29"/>
        <v>22</v>
      </c>
      <c r="O357" s="52">
        <v>0</v>
      </c>
      <c r="P357" s="57">
        <f t="shared" si="30"/>
        <v>0</v>
      </c>
    </row>
    <row r="358" spans="9:16" ht="15" customHeight="1" x14ac:dyDescent="0.35">
      <c r="I358" s="52">
        <v>327</v>
      </c>
      <c r="J358" s="53">
        <v>46349</v>
      </c>
      <c r="K358" s="54">
        <f t="shared" si="26"/>
        <v>11</v>
      </c>
      <c r="L358" s="55">
        <f t="shared" si="27"/>
        <v>2</v>
      </c>
      <c r="M358" s="56">
        <f t="shared" si="28"/>
        <v>1</v>
      </c>
      <c r="N358" s="54">
        <f t="shared" si="29"/>
        <v>23</v>
      </c>
      <c r="O358" s="52">
        <v>0</v>
      </c>
      <c r="P358" s="57">
        <f t="shared" si="30"/>
        <v>0</v>
      </c>
    </row>
    <row r="359" spans="9:16" ht="15" customHeight="1" x14ac:dyDescent="0.35">
      <c r="I359" s="52">
        <v>328</v>
      </c>
      <c r="J359" s="53">
        <v>46350</v>
      </c>
      <c r="K359" s="54">
        <f t="shared" si="26"/>
        <v>11</v>
      </c>
      <c r="L359" s="55">
        <f t="shared" si="27"/>
        <v>2</v>
      </c>
      <c r="M359" s="56">
        <f t="shared" si="28"/>
        <v>1</v>
      </c>
      <c r="N359" s="54">
        <f t="shared" si="29"/>
        <v>24</v>
      </c>
      <c r="O359" s="52">
        <v>0</v>
      </c>
      <c r="P359" s="57">
        <f t="shared" si="30"/>
        <v>0</v>
      </c>
    </row>
    <row r="360" spans="9:16" ht="15" customHeight="1" x14ac:dyDescent="0.35">
      <c r="I360" s="52">
        <v>329</v>
      </c>
      <c r="J360" s="53">
        <v>46351</v>
      </c>
      <c r="K360" s="54">
        <f t="shared" si="26"/>
        <v>11</v>
      </c>
      <c r="L360" s="55">
        <f t="shared" si="27"/>
        <v>2</v>
      </c>
      <c r="M360" s="56">
        <f t="shared" si="28"/>
        <v>1</v>
      </c>
      <c r="N360" s="54">
        <f t="shared" si="29"/>
        <v>25</v>
      </c>
      <c r="O360" s="52">
        <v>0</v>
      </c>
      <c r="P360" s="57">
        <f t="shared" si="30"/>
        <v>0</v>
      </c>
    </row>
    <row r="361" spans="9:16" ht="15" customHeight="1" x14ac:dyDescent="0.35">
      <c r="I361" s="52">
        <v>330</v>
      </c>
      <c r="J361" s="53">
        <v>46352</v>
      </c>
      <c r="K361" s="54">
        <f t="shared" si="26"/>
        <v>11</v>
      </c>
      <c r="L361" s="55">
        <f t="shared" si="27"/>
        <v>2</v>
      </c>
      <c r="M361" s="56">
        <f t="shared" si="28"/>
        <v>1</v>
      </c>
      <c r="N361" s="54">
        <f t="shared" si="29"/>
        <v>26</v>
      </c>
      <c r="O361" s="52">
        <v>0</v>
      </c>
      <c r="P361" s="57">
        <f t="shared" si="30"/>
        <v>0</v>
      </c>
    </row>
    <row r="362" spans="9:16" ht="15" customHeight="1" x14ac:dyDescent="0.35">
      <c r="I362" s="52">
        <v>331</v>
      </c>
      <c r="J362" s="53">
        <v>46353</v>
      </c>
      <c r="K362" s="54">
        <f t="shared" si="26"/>
        <v>11</v>
      </c>
      <c r="L362" s="55">
        <f t="shared" si="27"/>
        <v>2</v>
      </c>
      <c r="M362" s="56">
        <f t="shared" si="28"/>
        <v>1</v>
      </c>
      <c r="N362" s="54">
        <f t="shared" si="29"/>
        <v>27</v>
      </c>
      <c r="O362" s="52">
        <v>0</v>
      </c>
      <c r="P362" s="57">
        <f t="shared" si="30"/>
        <v>0</v>
      </c>
    </row>
    <row r="363" spans="9:16" ht="15" customHeight="1" x14ac:dyDescent="0.35">
      <c r="I363" s="52">
        <v>332</v>
      </c>
      <c r="J363" s="53">
        <v>46354</v>
      </c>
      <c r="K363" s="54">
        <f t="shared" si="26"/>
        <v>11</v>
      </c>
      <c r="L363" s="55">
        <f t="shared" si="27"/>
        <v>2</v>
      </c>
      <c r="M363" s="56">
        <f t="shared" si="28"/>
        <v>1</v>
      </c>
      <c r="N363" s="54">
        <f t="shared" si="29"/>
        <v>28</v>
      </c>
      <c r="O363" s="52">
        <v>0</v>
      </c>
      <c r="P363" s="57">
        <f t="shared" si="30"/>
        <v>0</v>
      </c>
    </row>
    <row r="364" spans="9:16" ht="15" customHeight="1" x14ac:dyDescent="0.35">
      <c r="I364" s="52">
        <v>333</v>
      </c>
      <c r="J364" s="53">
        <v>46355</v>
      </c>
      <c r="K364" s="54">
        <f t="shared" si="26"/>
        <v>11</v>
      </c>
      <c r="L364" s="55">
        <f t="shared" si="27"/>
        <v>2</v>
      </c>
      <c r="M364" s="56">
        <f t="shared" si="28"/>
        <v>1</v>
      </c>
      <c r="N364" s="54">
        <f t="shared" si="29"/>
        <v>29</v>
      </c>
      <c r="O364" s="52">
        <v>0</v>
      </c>
      <c r="P364" s="57">
        <f t="shared" si="30"/>
        <v>0</v>
      </c>
    </row>
    <row r="365" spans="9:16" ht="15" customHeight="1" x14ac:dyDescent="0.35">
      <c r="I365" s="52">
        <v>334</v>
      </c>
      <c r="J365" s="53">
        <v>46356</v>
      </c>
      <c r="K365" s="54">
        <f t="shared" si="26"/>
        <v>11</v>
      </c>
      <c r="L365" s="55">
        <f t="shared" si="27"/>
        <v>2</v>
      </c>
      <c r="M365" s="56">
        <f t="shared" si="28"/>
        <v>1</v>
      </c>
      <c r="N365" s="54">
        <f t="shared" si="29"/>
        <v>30</v>
      </c>
      <c r="O365" s="52">
        <v>0</v>
      </c>
      <c r="P365" s="57">
        <f t="shared" si="30"/>
        <v>0</v>
      </c>
    </row>
    <row r="366" spans="9:16" ht="15" customHeight="1" x14ac:dyDescent="0.35">
      <c r="I366" s="52">
        <v>335</v>
      </c>
      <c r="J366" s="53">
        <v>46357</v>
      </c>
      <c r="K366" s="54">
        <f t="shared" si="26"/>
        <v>12</v>
      </c>
      <c r="L366" s="55">
        <f t="shared" si="27"/>
        <v>4</v>
      </c>
      <c r="M366" s="56">
        <f t="shared" si="28"/>
        <v>1</v>
      </c>
      <c r="N366" s="54">
        <f t="shared" si="29"/>
        <v>1</v>
      </c>
      <c r="O366" s="52">
        <v>0</v>
      </c>
      <c r="P366" s="57">
        <f t="shared" si="30"/>
        <v>0</v>
      </c>
    </row>
    <row r="367" spans="9:16" ht="15" customHeight="1" x14ac:dyDescent="0.35">
      <c r="I367" s="52">
        <v>336</v>
      </c>
      <c r="J367" s="53">
        <v>46358</v>
      </c>
      <c r="K367" s="54">
        <f t="shared" si="26"/>
        <v>12</v>
      </c>
      <c r="L367" s="55">
        <f t="shared" si="27"/>
        <v>4</v>
      </c>
      <c r="M367" s="56">
        <f t="shared" si="28"/>
        <v>1</v>
      </c>
      <c r="N367" s="54">
        <f t="shared" si="29"/>
        <v>2</v>
      </c>
      <c r="O367" s="52">
        <v>0</v>
      </c>
      <c r="P367" s="57">
        <f t="shared" si="30"/>
        <v>0</v>
      </c>
    </row>
    <row r="368" spans="9:16" ht="15" customHeight="1" x14ac:dyDescent="0.35">
      <c r="I368" s="52">
        <v>337</v>
      </c>
      <c r="J368" s="53">
        <v>46359</v>
      </c>
      <c r="K368" s="54">
        <f t="shared" si="26"/>
        <v>12</v>
      </c>
      <c r="L368" s="55">
        <f t="shared" si="27"/>
        <v>4</v>
      </c>
      <c r="M368" s="56">
        <f t="shared" si="28"/>
        <v>1</v>
      </c>
      <c r="N368" s="54">
        <f t="shared" si="29"/>
        <v>3</v>
      </c>
      <c r="O368" s="52">
        <v>0</v>
      </c>
      <c r="P368" s="57">
        <f t="shared" si="30"/>
        <v>0</v>
      </c>
    </row>
    <row r="369" spans="9:16" ht="15" customHeight="1" x14ac:dyDescent="0.35">
      <c r="I369" s="52">
        <v>338</v>
      </c>
      <c r="J369" s="53">
        <v>46360</v>
      </c>
      <c r="K369" s="54">
        <f t="shared" si="26"/>
        <v>12</v>
      </c>
      <c r="L369" s="55">
        <f t="shared" si="27"/>
        <v>4</v>
      </c>
      <c r="M369" s="56">
        <f t="shared" si="28"/>
        <v>1</v>
      </c>
      <c r="N369" s="54">
        <f t="shared" si="29"/>
        <v>4</v>
      </c>
      <c r="O369" s="52">
        <v>0</v>
      </c>
      <c r="P369" s="57">
        <f t="shared" si="30"/>
        <v>0</v>
      </c>
    </row>
    <row r="370" spans="9:16" ht="15" customHeight="1" x14ac:dyDescent="0.35">
      <c r="I370" s="52">
        <v>339</v>
      </c>
      <c r="J370" s="53">
        <v>46361</v>
      </c>
      <c r="K370" s="54">
        <f t="shared" si="26"/>
        <v>12</v>
      </c>
      <c r="L370" s="55">
        <f t="shared" si="27"/>
        <v>4</v>
      </c>
      <c r="M370" s="56">
        <f t="shared" si="28"/>
        <v>1</v>
      </c>
      <c r="N370" s="54">
        <f t="shared" si="29"/>
        <v>5</v>
      </c>
      <c r="O370" s="52">
        <v>0</v>
      </c>
      <c r="P370" s="57">
        <f t="shared" si="30"/>
        <v>0</v>
      </c>
    </row>
    <row r="371" spans="9:16" ht="15" customHeight="1" x14ac:dyDescent="0.35">
      <c r="I371" s="52">
        <v>340</v>
      </c>
      <c r="J371" s="53">
        <v>46362</v>
      </c>
      <c r="K371" s="54">
        <f t="shared" si="26"/>
        <v>12</v>
      </c>
      <c r="L371" s="55">
        <f t="shared" si="27"/>
        <v>4</v>
      </c>
      <c r="M371" s="56">
        <f t="shared" si="28"/>
        <v>1</v>
      </c>
      <c r="N371" s="54">
        <f t="shared" si="29"/>
        <v>6</v>
      </c>
      <c r="O371" s="52">
        <v>0</v>
      </c>
      <c r="P371" s="57">
        <f t="shared" si="30"/>
        <v>0</v>
      </c>
    </row>
    <row r="372" spans="9:16" ht="15" customHeight="1" x14ac:dyDescent="0.35">
      <c r="I372" s="52">
        <v>341</v>
      </c>
      <c r="J372" s="53">
        <v>46363</v>
      </c>
      <c r="K372" s="54">
        <f t="shared" si="26"/>
        <v>12</v>
      </c>
      <c r="L372" s="55">
        <f t="shared" si="27"/>
        <v>4</v>
      </c>
      <c r="M372" s="56">
        <f t="shared" si="28"/>
        <v>1</v>
      </c>
      <c r="N372" s="54">
        <f t="shared" si="29"/>
        <v>7</v>
      </c>
      <c r="O372" s="52">
        <v>0</v>
      </c>
      <c r="P372" s="57">
        <f t="shared" si="30"/>
        <v>0</v>
      </c>
    </row>
    <row r="373" spans="9:16" ht="15" customHeight="1" x14ac:dyDescent="0.35">
      <c r="I373" s="52">
        <v>342</v>
      </c>
      <c r="J373" s="53">
        <v>46364</v>
      </c>
      <c r="K373" s="54">
        <f t="shared" si="26"/>
        <v>12</v>
      </c>
      <c r="L373" s="55">
        <f t="shared" si="27"/>
        <v>4</v>
      </c>
      <c r="M373" s="56">
        <f t="shared" si="28"/>
        <v>1</v>
      </c>
      <c r="N373" s="54">
        <f t="shared" si="29"/>
        <v>8</v>
      </c>
      <c r="O373" s="52">
        <v>0</v>
      </c>
      <c r="P373" s="57">
        <f t="shared" si="30"/>
        <v>0</v>
      </c>
    </row>
    <row r="374" spans="9:16" ht="15" customHeight="1" x14ac:dyDescent="0.35">
      <c r="I374" s="52">
        <v>343</v>
      </c>
      <c r="J374" s="53">
        <v>46365</v>
      </c>
      <c r="K374" s="54">
        <f t="shared" si="26"/>
        <v>12</v>
      </c>
      <c r="L374" s="55">
        <f t="shared" si="27"/>
        <v>4</v>
      </c>
      <c r="M374" s="56">
        <f t="shared" si="28"/>
        <v>1</v>
      </c>
      <c r="N374" s="54">
        <f t="shared" si="29"/>
        <v>9</v>
      </c>
      <c r="O374" s="52">
        <v>0</v>
      </c>
      <c r="P374" s="57">
        <f t="shared" si="30"/>
        <v>0</v>
      </c>
    </row>
    <row r="375" spans="9:16" ht="15" customHeight="1" x14ac:dyDescent="0.35">
      <c r="I375" s="52">
        <v>344</v>
      </c>
      <c r="J375" s="53">
        <v>46366</v>
      </c>
      <c r="K375" s="54">
        <f t="shared" si="26"/>
        <v>12</v>
      </c>
      <c r="L375" s="55">
        <f t="shared" si="27"/>
        <v>4</v>
      </c>
      <c r="M375" s="56">
        <f t="shared" si="28"/>
        <v>1</v>
      </c>
      <c r="N375" s="54">
        <f t="shared" si="29"/>
        <v>10</v>
      </c>
      <c r="O375" s="52">
        <v>0</v>
      </c>
      <c r="P375" s="57">
        <f t="shared" si="30"/>
        <v>0</v>
      </c>
    </row>
    <row r="376" spans="9:16" ht="15" customHeight="1" x14ac:dyDescent="0.35">
      <c r="I376" s="52">
        <v>345</v>
      </c>
      <c r="J376" s="53">
        <v>46367</v>
      </c>
      <c r="K376" s="54">
        <f t="shared" si="26"/>
        <v>12</v>
      </c>
      <c r="L376" s="55">
        <f t="shared" si="27"/>
        <v>4</v>
      </c>
      <c r="M376" s="56">
        <f t="shared" si="28"/>
        <v>1</v>
      </c>
      <c r="N376" s="54">
        <f t="shared" si="29"/>
        <v>11</v>
      </c>
      <c r="O376" s="52">
        <v>0</v>
      </c>
      <c r="P376" s="57">
        <f t="shared" si="30"/>
        <v>0</v>
      </c>
    </row>
    <row r="377" spans="9:16" ht="15" customHeight="1" x14ac:dyDescent="0.35">
      <c r="I377" s="52">
        <v>346</v>
      </c>
      <c r="J377" s="53">
        <v>46368</v>
      </c>
      <c r="K377" s="54">
        <f t="shared" si="26"/>
        <v>12</v>
      </c>
      <c r="L377" s="55">
        <f t="shared" si="27"/>
        <v>4</v>
      </c>
      <c r="M377" s="56">
        <f t="shared" si="28"/>
        <v>1</v>
      </c>
      <c r="N377" s="54">
        <f t="shared" si="29"/>
        <v>12</v>
      </c>
      <c r="O377" s="52">
        <v>0</v>
      </c>
      <c r="P377" s="57">
        <f t="shared" si="30"/>
        <v>0</v>
      </c>
    </row>
    <row r="378" spans="9:16" ht="15" customHeight="1" x14ac:dyDescent="0.35">
      <c r="I378" s="52">
        <v>347</v>
      </c>
      <c r="J378" s="53">
        <v>46369</v>
      </c>
      <c r="K378" s="54">
        <f t="shared" si="26"/>
        <v>12</v>
      </c>
      <c r="L378" s="55">
        <f t="shared" si="27"/>
        <v>4</v>
      </c>
      <c r="M378" s="56">
        <f t="shared" si="28"/>
        <v>1</v>
      </c>
      <c r="N378" s="54">
        <f t="shared" si="29"/>
        <v>13</v>
      </c>
      <c r="O378" s="52">
        <v>0</v>
      </c>
      <c r="P378" s="57">
        <f t="shared" si="30"/>
        <v>0</v>
      </c>
    </row>
    <row r="379" spans="9:16" ht="15" customHeight="1" x14ac:dyDescent="0.35">
      <c r="I379" s="52">
        <v>348</v>
      </c>
      <c r="J379" s="53">
        <v>46370</v>
      </c>
      <c r="K379" s="54">
        <f t="shared" si="26"/>
        <v>12</v>
      </c>
      <c r="L379" s="55">
        <f t="shared" si="27"/>
        <v>4</v>
      </c>
      <c r="M379" s="56">
        <f t="shared" si="28"/>
        <v>1</v>
      </c>
      <c r="N379" s="54">
        <f t="shared" si="29"/>
        <v>14</v>
      </c>
      <c r="O379" s="52">
        <v>0</v>
      </c>
      <c r="P379" s="57">
        <f t="shared" si="30"/>
        <v>0</v>
      </c>
    </row>
    <row r="380" spans="9:16" ht="15" customHeight="1" x14ac:dyDescent="0.35">
      <c r="I380" s="52">
        <v>349</v>
      </c>
      <c r="J380" s="53">
        <v>46371</v>
      </c>
      <c r="K380" s="54">
        <f t="shared" si="26"/>
        <v>12</v>
      </c>
      <c r="L380" s="55">
        <f t="shared" si="27"/>
        <v>4</v>
      </c>
      <c r="M380" s="56">
        <f t="shared" si="28"/>
        <v>1</v>
      </c>
      <c r="N380" s="54">
        <f t="shared" si="29"/>
        <v>15</v>
      </c>
      <c r="O380" s="52">
        <v>0</v>
      </c>
      <c r="P380" s="57">
        <f t="shared" si="30"/>
        <v>0</v>
      </c>
    </row>
    <row r="381" spans="9:16" ht="15" customHeight="1" x14ac:dyDescent="0.35">
      <c r="I381" s="52">
        <v>350</v>
      </c>
      <c r="J381" s="53">
        <v>46372</v>
      </c>
      <c r="K381" s="54">
        <f t="shared" si="26"/>
        <v>12</v>
      </c>
      <c r="L381" s="55">
        <f t="shared" si="27"/>
        <v>4</v>
      </c>
      <c r="M381" s="56">
        <f t="shared" si="28"/>
        <v>1</v>
      </c>
      <c r="N381" s="54">
        <f t="shared" si="29"/>
        <v>16</v>
      </c>
      <c r="O381" s="52">
        <v>1</v>
      </c>
      <c r="P381" s="58">
        <f t="shared" si="30"/>
        <v>4</v>
      </c>
    </row>
    <row r="382" spans="9:16" ht="15" customHeight="1" x14ac:dyDescent="0.35">
      <c r="I382" s="52">
        <v>351</v>
      </c>
      <c r="J382" s="53">
        <v>46373</v>
      </c>
      <c r="K382" s="54">
        <f t="shared" si="26"/>
        <v>12</v>
      </c>
      <c r="L382" s="55">
        <f t="shared" si="27"/>
        <v>4</v>
      </c>
      <c r="M382" s="56">
        <f t="shared" si="28"/>
        <v>1</v>
      </c>
      <c r="N382" s="54">
        <f t="shared" si="29"/>
        <v>17</v>
      </c>
      <c r="O382" s="52">
        <v>0</v>
      </c>
      <c r="P382" s="57">
        <f t="shared" si="30"/>
        <v>0</v>
      </c>
    </row>
    <row r="383" spans="9:16" ht="15" customHeight="1" x14ac:dyDescent="0.35">
      <c r="I383" s="52">
        <v>352</v>
      </c>
      <c r="J383" s="53">
        <v>46374</v>
      </c>
      <c r="K383" s="54">
        <f t="shared" si="26"/>
        <v>12</v>
      </c>
      <c r="L383" s="55">
        <f t="shared" si="27"/>
        <v>4</v>
      </c>
      <c r="M383" s="56">
        <f t="shared" si="28"/>
        <v>1</v>
      </c>
      <c r="N383" s="54">
        <f t="shared" si="29"/>
        <v>18</v>
      </c>
      <c r="O383" s="52">
        <v>0</v>
      </c>
      <c r="P383" s="57">
        <f t="shared" si="30"/>
        <v>0</v>
      </c>
    </row>
    <row r="384" spans="9:16" ht="15" customHeight="1" x14ac:dyDescent="0.35">
      <c r="I384" s="52">
        <v>353</v>
      </c>
      <c r="J384" s="53">
        <v>46375</v>
      </c>
      <c r="K384" s="54">
        <f t="shared" si="26"/>
        <v>12</v>
      </c>
      <c r="L384" s="55">
        <f t="shared" si="27"/>
        <v>4</v>
      </c>
      <c r="M384" s="56">
        <f t="shared" si="28"/>
        <v>1</v>
      </c>
      <c r="N384" s="54">
        <f t="shared" si="29"/>
        <v>19</v>
      </c>
      <c r="O384" s="52">
        <v>0</v>
      </c>
      <c r="P384" s="57">
        <f t="shared" si="30"/>
        <v>0</v>
      </c>
    </row>
    <row r="385" spans="9:16" ht="15" customHeight="1" x14ac:dyDescent="0.35">
      <c r="I385" s="52">
        <v>354</v>
      </c>
      <c r="J385" s="53">
        <v>46376</v>
      </c>
      <c r="K385" s="54">
        <f t="shared" si="26"/>
        <v>12</v>
      </c>
      <c r="L385" s="55">
        <f t="shared" si="27"/>
        <v>4</v>
      </c>
      <c r="M385" s="56">
        <f t="shared" si="28"/>
        <v>1</v>
      </c>
      <c r="N385" s="54">
        <f t="shared" si="29"/>
        <v>20</v>
      </c>
      <c r="O385" s="52">
        <v>0</v>
      </c>
      <c r="P385" s="57">
        <f t="shared" si="30"/>
        <v>0</v>
      </c>
    </row>
    <row r="386" spans="9:16" ht="15" customHeight="1" x14ac:dyDescent="0.35">
      <c r="I386" s="52">
        <v>355</v>
      </c>
      <c r="J386" s="53">
        <v>46377</v>
      </c>
      <c r="K386" s="54">
        <f t="shared" si="26"/>
        <v>12</v>
      </c>
      <c r="L386" s="55">
        <f t="shared" si="27"/>
        <v>4</v>
      </c>
      <c r="M386" s="56">
        <f t="shared" si="28"/>
        <v>1</v>
      </c>
      <c r="N386" s="54">
        <f t="shared" si="29"/>
        <v>21</v>
      </c>
      <c r="O386" s="52">
        <v>0</v>
      </c>
      <c r="P386" s="57">
        <f t="shared" si="30"/>
        <v>0</v>
      </c>
    </row>
    <row r="387" spans="9:16" ht="15" customHeight="1" x14ac:dyDescent="0.35">
      <c r="I387" s="52">
        <v>356</v>
      </c>
      <c r="J387" s="53">
        <v>46378</v>
      </c>
      <c r="K387" s="54">
        <f t="shared" si="26"/>
        <v>12</v>
      </c>
      <c r="L387" s="55">
        <f t="shared" si="27"/>
        <v>4</v>
      </c>
      <c r="M387" s="56">
        <f t="shared" si="28"/>
        <v>1</v>
      </c>
      <c r="N387" s="54">
        <f t="shared" si="29"/>
        <v>22</v>
      </c>
      <c r="O387" s="52">
        <v>0</v>
      </c>
      <c r="P387" s="57">
        <f t="shared" si="30"/>
        <v>0</v>
      </c>
    </row>
    <row r="388" spans="9:16" ht="15" customHeight="1" x14ac:dyDescent="0.35">
      <c r="I388" s="52">
        <v>357</v>
      </c>
      <c r="J388" s="53">
        <v>46379</v>
      </c>
      <c r="K388" s="54">
        <f t="shared" si="26"/>
        <v>12</v>
      </c>
      <c r="L388" s="55">
        <f t="shared" si="27"/>
        <v>4</v>
      </c>
      <c r="M388" s="56">
        <f t="shared" si="28"/>
        <v>1</v>
      </c>
      <c r="N388" s="54">
        <f t="shared" si="29"/>
        <v>23</v>
      </c>
      <c r="O388" s="52">
        <v>0</v>
      </c>
      <c r="P388" s="57">
        <f t="shared" si="30"/>
        <v>0</v>
      </c>
    </row>
    <row r="389" spans="9:16" ht="15" customHeight="1" x14ac:dyDescent="0.35">
      <c r="I389" s="52">
        <v>358</v>
      </c>
      <c r="J389" s="53">
        <v>46380</v>
      </c>
      <c r="K389" s="54">
        <f t="shared" si="26"/>
        <v>12</v>
      </c>
      <c r="L389" s="55">
        <f t="shared" si="27"/>
        <v>4</v>
      </c>
      <c r="M389" s="56">
        <f t="shared" si="28"/>
        <v>1</v>
      </c>
      <c r="N389" s="54">
        <f t="shared" si="29"/>
        <v>24</v>
      </c>
      <c r="O389" s="52">
        <v>0</v>
      </c>
      <c r="P389" s="57">
        <f t="shared" si="30"/>
        <v>0</v>
      </c>
    </row>
    <row r="390" spans="9:16" ht="15" customHeight="1" x14ac:dyDescent="0.35">
      <c r="I390" s="52">
        <v>359</v>
      </c>
      <c r="J390" s="53">
        <v>46381</v>
      </c>
      <c r="K390" s="54">
        <f t="shared" si="26"/>
        <v>12</v>
      </c>
      <c r="L390" s="55">
        <f t="shared" si="27"/>
        <v>4</v>
      </c>
      <c r="M390" s="56">
        <f t="shared" si="28"/>
        <v>1</v>
      </c>
      <c r="N390" s="54">
        <f t="shared" si="29"/>
        <v>25</v>
      </c>
      <c r="O390" s="52">
        <v>0</v>
      </c>
      <c r="P390" s="57">
        <f t="shared" si="30"/>
        <v>0</v>
      </c>
    </row>
    <row r="391" spans="9:16" ht="15" customHeight="1" x14ac:dyDescent="0.35">
      <c r="I391" s="52">
        <v>360</v>
      </c>
      <c r="J391" s="53">
        <v>46382</v>
      </c>
      <c r="K391" s="54">
        <f t="shared" si="26"/>
        <v>12</v>
      </c>
      <c r="L391" s="55">
        <f t="shared" si="27"/>
        <v>4</v>
      </c>
      <c r="M391" s="56">
        <f t="shared" si="28"/>
        <v>1</v>
      </c>
      <c r="N391" s="54">
        <f t="shared" si="29"/>
        <v>26</v>
      </c>
      <c r="O391" s="52">
        <v>0</v>
      </c>
      <c r="P391" s="57">
        <f t="shared" si="30"/>
        <v>0</v>
      </c>
    </row>
    <row r="392" spans="9:16" ht="15" customHeight="1" x14ac:dyDescent="0.35">
      <c r="I392" s="52">
        <v>361</v>
      </c>
      <c r="J392" s="53">
        <v>46383</v>
      </c>
      <c r="K392" s="54">
        <f t="shared" si="26"/>
        <v>12</v>
      </c>
      <c r="L392" s="55">
        <f t="shared" si="27"/>
        <v>4</v>
      </c>
      <c r="M392" s="56">
        <f t="shared" si="28"/>
        <v>1</v>
      </c>
      <c r="N392" s="54">
        <f t="shared" si="29"/>
        <v>27</v>
      </c>
      <c r="O392" s="52">
        <v>0</v>
      </c>
      <c r="P392" s="57">
        <f t="shared" si="30"/>
        <v>0</v>
      </c>
    </row>
    <row r="393" spans="9:16" ht="15" customHeight="1" x14ac:dyDescent="0.35">
      <c r="I393" s="52">
        <v>362</v>
      </c>
      <c r="J393" s="53">
        <v>46384</v>
      </c>
      <c r="K393" s="54">
        <f t="shared" si="26"/>
        <v>12</v>
      </c>
      <c r="L393" s="55">
        <f t="shared" si="27"/>
        <v>4</v>
      </c>
      <c r="M393" s="56">
        <f t="shared" si="28"/>
        <v>1</v>
      </c>
      <c r="N393" s="54">
        <f t="shared" si="29"/>
        <v>28</v>
      </c>
      <c r="O393" s="52">
        <v>0</v>
      </c>
      <c r="P393" s="57">
        <f t="shared" si="30"/>
        <v>0</v>
      </c>
    </row>
    <row r="394" spans="9:16" ht="15" customHeight="1" x14ac:dyDescent="0.35">
      <c r="I394" s="52">
        <v>363</v>
      </c>
      <c r="J394" s="53">
        <v>46385</v>
      </c>
      <c r="K394" s="54">
        <f t="shared" si="26"/>
        <v>12</v>
      </c>
      <c r="L394" s="55">
        <f t="shared" si="27"/>
        <v>4</v>
      </c>
      <c r="M394" s="56">
        <f t="shared" si="28"/>
        <v>1</v>
      </c>
      <c r="N394" s="54">
        <f t="shared" si="29"/>
        <v>29</v>
      </c>
      <c r="O394" s="52">
        <v>0</v>
      </c>
      <c r="P394" s="57">
        <f t="shared" si="30"/>
        <v>0</v>
      </c>
    </row>
    <row r="395" spans="9:16" ht="15" customHeight="1" x14ac:dyDescent="0.35">
      <c r="I395" s="52">
        <v>364</v>
      </c>
      <c r="J395" s="53">
        <v>46386</v>
      </c>
      <c r="K395" s="54">
        <f t="shared" si="26"/>
        <v>12</v>
      </c>
      <c r="L395" s="55">
        <f t="shared" si="27"/>
        <v>4</v>
      </c>
      <c r="M395" s="56">
        <f t="shared" si="28"/>
        <v>1</v>
      </c>
      <c r="N395" s="54">
        <f t="shared" si="29"/>
        <v>30</v>
      </c>
      <c r="O395" s="52">
        <v>0</v>
      </c>
      <c r="P395" s="57">
        <f t="shared" si="30"/>
        <v>0</v>
      </c>
    </row>
    <row r="396" spans="9:16" ht="15" customHeight="1" x14ac:dyDescent="0.35">
      <c r="I396" s="52">
        <v>365</v>
      </c>
      <c r="J396" s="53">
        <v>46387</v>
      </c>
      <c r="K396" s="54">
        <f t="shared" si="26"/>
        <v>12</v>
      </c>
      <c r="L396" s="55">
        <f t="shared" si="27"/>
        <v>4</v>
      </c>
      <c r="M396" s="56">
        <f t="shared" si="28"/>
        <v>1</v>
      </c>
      <c r="N396" s="54">
        <f t="shared" si="29"/>
        <v>31</v>
      </c>
      <c r="O396" s="52">
        <v>0</v>
      </c>
      <c r="P396" s="57">
        <f t="shared" si="30"/>
        <v>0</v>
      </c>
    </row>
    <row r="398" spans="9:16" ht="15" customHeight="1" x14ac:dyDescent="0.35">
      <c r="I398" s="7" t="s">
        <v>110</v>
      </c>
      <c r="J398" s="7"/>
      <c r="K398" s="7"/>
      <c r="L398" s="7"/>
      <c r="M398" s="7"/>
      <c r="N398" s="7"/>
      <c r="O398" s="7"/>
      <c r="P398" s="7"/>
    </row>
    <row r="399" spans="9:16" ht="15" customHeight="1" x14ac:dyDescent="0.35">
      <c r="I399" s="7"/>
      <c r="J399" s="7"/>
      <c r="K399" s="7"/>
      <c r="L399" s="7"/>
      <c r="M399" s="7"/>
      <c r="N399" s="7"/>
      <c r="O399" s="7"/>
      <c r="P399" s="7"/>
    </row>
    <row r="400" spans="9:16" ht="15" customHeight="1" x14ac:dyDescent="0.35">
      <c r="I400" s="7"/>
      <c r="J400" s="7"/>
      <c r="K400" s="7"/>
      <c r="L400" s="7"/>
      <c r="M400" s="7"/>
      <c r="N400" s="7"/>
      <c r="O400" s="7"/>
      <c r="P400" s="7"/>
    </row>
  </sheetData>
  <mergeCells count="5">
    <mergeCell ref="B2:G2"/>
    <mergeCell ref="B11:G11"/>
    <mergeCell ref="B13:G13"/>
    <mergeCell ref="I30:P30"/>
    <mergeCell ref="I398:P40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D4A5C"/>
  </sheetPr>
  <dimension ref="B2:P370"/>
  <sheetViews>
    <sheetView showGridLines="0" zoomScaleNormal="100" workbookViewId="0">
      <pane xSplit="2" ySplit="5" topLeftCell="C66" activePane="bottomRight" state="frozen"/>
      <selection pane="topRight" activeCell="C1" sqref="C1"/>
      <selection pane="bottomLeft" activeCell="A6" sqref="A6"/>
      <selection pane="bottomRight" activeCell="E66" sqref="E66"/>
    </sheetView>
  </sheetViews>
  <sheetFormatPr defaultColWidth="8.6328125" defaultRowHeight="14.5" x14ac:dyDescent="0.35"/>
  <cols>
    <col min="1" max="1" width="3" customWidth="1"/>
    <col min="2" max="2" width="6" customWidth="1"/>
    <col min="3" max="3" width="12" customWidth="1"/>
    <col min="4" max="4" width="11" customWidth="1"/>
    <col min="5" max="6" width="13" customWidth="1"/>
    <col min="7" max="8" width="11" customWidth="1"/>
    <col min="9" max="10" width="10" customWidth="1"/>
    <col min="11" max="11" width="13" customWidth="1"/>
    <col min="12" max="12" width="10" customWidth="1"/>
    <col min="13" max="14" width="15" customWidth="1"/>
    <col min="15" max="16" width="13" customWidth="1"/>
  </cols>
  <sheetData>
    <row r="2" spans="2:16" ht="27.75" customHeight="1" x14ac:dyDescent="0.35">
      <c r="B2" s="11" t="s">
        <v>342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2:16" ht="15" customHeight="1" x14ac:dyDescent="0.35">
      <c r="B3" s="10" t="s">
        <v>111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5" spans="2:16" ht="33.75" customHeight="1" x14ac:dyDescent="0.35">
      <c r="B5" s="51" t="s">
        <v>103</v>
      </c>
      <c r="C5" s="51" t="s">
        <v>104</v>
      </c>
      <c r="D5" s="51" t="s">
        <v>112</v>
      </c>
      <c r="E5" s="51" t="s">
        <v>113</v>
      </c>
      <c r="F5" s="51" t="s">
        <v>114</v>
      </c>
      <c r="G5" s="51" t="s">
        <v>115</v>
      </c>
      <c r="H5" s="51" t="s">
        <v>116</v>
      </c>
      <c r="I5" s="51" t="s">
        <v>117</v>
      </c>
      <c r="J5" s="51" t="s">
        <v>118</v>
      </c>
      <c r="K5" s="51" t="s">
        <v>119</v>
      </c>
      <c r="L5" s="51" t="s">
        <v>120</v>
      </c>
      <c r="M5" s="51" t="s">
        <v>121</v>
      </c>
      <c r="N5" s="51" t="s">
        <v>122</v>
      </c>
      <c r="O5" s="51" t="s">
        <v>123</v>
      </c>
      <c r="P5" s="51" t="s">
        <v>124</v>
      </c>
    </row>
    <row r="6" spans="2:16" ht="15" customHeight="1" x14ac:dyDescent="0.35">
      <c r="B6" s="52">
        <v>1</v>
      </c>
      <c r="C6" s="59">
        <f>'Rainfall Data'!J32</f>
        <v>46023</v>
      </c>
      <c r="D6" s="60">
        <f>'Rainfall Data'!P32</f>
        <v>0</v>
      </c>
      <c r="E6" s="61">
        <f t="shared" ref="E6:E69" si="0">MAX(D6-FirstFlush_mm,0)*RoofArea_m2*CollectionEff</f>
        <v>0</v>
      </c>
      <c r="F6" s="62">
        <f>TankInitial_L</f>
        <v>1000</v>
      </c>
      <c r="G6" s="63">
        <f t="shared" ref="G6:G69" si="1">DailyDemand_L</f>
        <v>270</v>
      </c>
      <c r="H6" s="64">
        <f t="shared" ref="H6:H69" si="2">MIN(G6,MAX(F6+E6-DeadStorage_L,0))</f>
        <v>270</v>
      </c>
      <c r="I6" s="65">
        <f t="shared" ref="I6:I69" si="3">MAX(F6+E6-H6-TankCapacity_L,0)</f>
        <v>0</v>
      </c>
      <c r="J6" s="66">
        <f t="shared" ref="J6:J69" si="4">G6-H6</f>
        <v>0</v>
      </c>
      <c r="K6" s="61">
        <f t="shared" ref="K6:K69" si="5">MIN(F6+E6-H6-I6,TankCapacity_L)</f>
        <v>730</v>
      </c>
      <c r="L6" s="67">
        <f t="shared" ref="L6:L69" si="6">IF(D6&gt;0,CollectionEff,0)</f>
        <v>0</v>
      </c>
      <c r="M6" s="62">
        <f>0+E6</f>
        <v>0</v>
      </c>
      <c r="N6" s="62">
        <f>0+H6</f>
        <v>270</v>
      </c>
      <c r="O6" s="62">
        <f>0+I6</f>
        <v>0</v>
      </c>
      <c r="P6" s="62">
        <f>0+J6</f>
        <v>0</v>
      </c>
    </row>
    <row r="7" spans="2:16" ht="15" customHeight="1" x14ac:dyDescent="0.35">
      <c r="B7" s="68">
        <v>2</v>
      </c>
      <c r="C7" s="69">
        <f>'Rainfall Data'!J33</f>
        <v>46024</v>
      </c>
      <c r="D7" s="70">
        <f>'Rainfall Data'!P33</f>
        <v>0</v>
      </c>
      <c r="E7" s="71">
        <f t="shared" si="0"/>
        <v>0</v>
      </c>
      <c r="F7" s="72">
        <f t="shared" ref="F7:F70" si="7">K6</f>
        <v>730</v>
      </c>
      <c r="G7" s="73">
        <f t="shared" si="1"/>
        <v>270</v>
      </c>
      <c r="H7" s="74">
        <f t="shared" si="2"/>
        <v>270</v>
      </c>
      <c r="I7" s="75">
        <f t="shared" si="3"/>
        <v>0</v>
      </c>
      <c r="J7" s="76">
        <f t="shared" si="4"/>
        <v>0</v>
      </c>
      <c r="K7" s="71">
        <f t="shared" si="5"/>
        <v>460</v>
      </c>
      <c r="L7" s="77">
        <f t="shared" si="6"/>
        <v>0</v>
      </c>
      <c r="M7" s="72">
        <f t="shared" ref="M7:M70" si="8">M6+E7</f>
        <v>0</v>
      </c>
      <c r="N7" s="72">
        <f t="shared" ref="N7:N70" si="9">N6+H7</f>
        <v>540</v>
      </c>
      <c r="O7" s="72">
        <f t="shared" ref="O7:O70" si="10">O6+I7</f>
        <v>0</v>
      </c>
      <c r="P7" s="72">
        <f t="shared" ref="P7:P70" si="11">P6+J7</f>
        <v>0</v>
      </c>
    </row>
    <row r="8" spans="2:16" ht="15" customHeight="1" x14ac:dyDescent="0.35">
      <c r="B8" s="52">
        <v>3</v>
      </c>
      <c r="C8" s="59">
        <f>'Rainfall Data'!J34</f>
        <v>46025</v>
      </c>
      <c r="D8" s="60">
        <f>'Rainfall Data'!P34</f>
        <v>0</v>
      </c>
      <c r="E8" s="61">
        <f t="shared" si="0"/>
        <v>0</v>
      </c>
      <c r="F8" s="62">
        <f t="shared" si="7"/>
        <v>460</v>
      </c>
      <c r="G8" s="63">
        <f t="shared" si="1"/>
        <v>270</v>
      </c>
      <c r="H8" s="64">
        <f t="shared" si="2"/>
        <v>260</v>
      </c>
      <c r="I8" s="65">
        <f t="shared" si="3"/>
        <v>0</v>
      </c>
      <c r="J8" s="66">
        <f t="shared" si="4"/>
        <v>10</v>
      </c>
      <c r="K8" s="61">
        <f t="shared" si="5"/>
        <v>200</v>
      </c>
      <c r="L8" s="67">
        <f t="shared" si="6"/>
        <v>0</v>
      </c>
      <c r="M8" s="62">
        <f t="shared" si="8"/>
        <v>0</v>
      </c>
      <c r="N8" s="62">
        <f t="shared" si="9"/>
        <v>800</v>
      </c>
      <c r="O8" s="62">
        <f t="shared" si="10"/>
        <v>0</v>
      </c>
      <c r="P8" s="62">
        <f t="shared" si="11"/>
        <v>10</v>
      </c>
    </row>
    <row r="9" spans="2:16" ht="15" customHeight="1" x14ac:dyDescent="0.35">
      <c r="B9" s="68">
        <v>4</v>
      </c>
      <c r="C9" s="69">
        <f>'Rainfall Data'!J35</f>
        <v>46026</v>
      </c>
      <c r="D9" s="70">
        <f>'Rainfall Data'!P35</f>
        <v>0</v>
      </c>
      <c r="E9" s="71">
        <f t="shared" si="0"/>
        <v>0</v>
      </c>
      <c r="F9" s="72">
        <f t="shared" si="7"/>
        <v>200</v>
      </c>
      <c r="G9" s="73">
        <f t="shared" si="1"/>
        <v>270</v>
      </c>
      <c r="H9" s="74">
        <f t="shared" si="2"/>
        <v>0</v>
      </c>
      <c r="I9" s="75">
        <f t="shared" si="3"/>
        <v>0</v>
      </c>
      <c r="J9" s="76">
        <f t="shared" si="4"/>
        <v>270</v>
      </c>
      <c r="K9" s="71">
        <f t="shared" si="5"/>
        <v>200</v>
      </c>
      <c r="L9" s="77">
        <f t="shared" si="6"/>
        <v>0</v>
      </c>
      <c r="M9" s="72">
        <f t="shared" si="8"/>
        <v>0</v>
      </c>
      <c r="N9" s="72">
        <f t="shared" si="9"/>
        <v>800</v>
      </c>
      <c r="O9" s="72">
        <f t="shared" si="10"/>
        <v>0</v>
      </c>
      <c r="P9" s="72">
        <f t="shared" si="11"/>
        <v>280</v>
      </c>
    </row>
    <row r="10" spans="2:16" ht="15" customHeight="1" x14ac:dyDescent="0.35">
      <c r="B10" s="52">
        <v>5</v>
      </c>
      <c r="C10" s="59">
        <f>'Rainfall Data'!J36</f>
        <v>46027</v>
      </c>
      <c r="D10" s="60">
        <f>'Rainfall Data'!P36</f>
        <v>0</v>
      </c>
      <c r="E10" s="61">
        <f t="shared" si="0"/>
        <v>0</v>
      </c>
      <c r="F10" s="62">
        <f t="shared" si="7"/>
        <v>200</v>
      </c>
      <c r="G10" s="63">
        <f t="shared" si="1"/>
        <v>270</v>
      </c>
      <c r="H10" s="64">
        <f t="shared" si="2"/>
        <v>0</v>
      </c>
      <c r="I10" s="65">
        <f t="shared" si="3"/>
        <v>0</v>
      </c>
      <c r="J10" s="66">
        <f t="shared" si="4"/>
        <v>270</v>
      </c>
      <c r="K10" s="61">
        <f t="shared" si="5"/>
        <v>200</v>
      </c>
      <c r="L10" s="67">
        <f t="shared" si="6"/>
        <v>0</v>
      </c>
      <c r="M10" s="62">
        <f t="shared" si="8"/>
        <v>0</v>
      </c>
      <c r="N10" s="62">
        <f t="shared" si="9"/>
        <v>800</v>
      </c>
      <c r="O10" s="62">
        <f t="shared" si="10"/>
        <v>0</v>
      </c>
      <c r="P10" s="62">
        <f t="shared" si="11"/>
        <v>550</v>
      </c>
    </row>
    <row r="11" spans="2:16" ht="15" customHeight="1" x14ac:dyDescent="0.35">
      <c r="B11" s="68">
        <v>6</v>
      </c>
      <c r="C11" s="69">
        <f>'Rainfall Data'!J37</f>
        <v>46028</v>
      </c>
      <c r="D11" s="70">
        <f>'Rainfall Data'!P37</f>
        <v>0</v>
      </c>
      <c r="E11" s="71">
        <f t="shared" si="0"/>
        <v>0</v>
      </c>
      <c r="F11" s="72">
        <f t="shared" si="7"/>
        <v>200</v>
      </c>
      <c r="G11" s="73">
        <f t="shared" si="1"/>
        <v>270</v>
      </c>
      <c r="H11" s="74">
        <f t="shared" si="2"/>
        <v>0</v>
      </c>
      <c r="I11" s="75">
        <f t="shared" si="3"/>
        <v>0</v>
      </c>
      <c r="J11" s="76">
        <f t="shared" si="4"/>
        <v>270</v>
      </c>
      <c r="K11" s="71">
        <f t="shared" si="5"/>
        <v>200</v>
      </c>
      <c r="L11" s="77">
        <f t="shared" si="6"/>
        <v>0</v>
      </c>
      <c r="M11" s="72">
        <f t="shared" si="8"/>
        <v>0</v>
      </c>
      <c r="N11" s="72">
        <f t="shared" si="9"/>
        <v>800</v>
      </c>
      <c r="O11" s="72">
        <f t="shared" si="10"/>
        <v>0</v>
      </c>
      <c r="P11" s="72">
        <f t="shared" si="11"/>
        <v>820</v>
      </c>
    </row>
    <row r="12" spans="2:16" ht="15" customHeight="1" x14ac:dyDescent="0.35">
      <c r="B12" s="52">
        <v>7</v>
      </c>
      <c r="C12" s="59">
        <f>'Rainfall Data'!J38</f>
        <v>46029</v>
      </c>
      <c r="D12" s="60">
        <f>'Rainfall Data'!P38</f>
        <v>0</v>
      </c>
      <c r="E12" s="61">
        <f t="shared" si="0"/>
        <v>0</v>
      </c>
      <c r="F12" s="62">
        <f t="shared" si="7"/>
        <v>200</v>
      </c>
      <c r="G12" s="63">
        <f t="shared" si="1"/>
        <v>270</v>
      </c>
      <c r="H12" s="64">
        <f t="shared" si="2"/>
        <v>0</v>
      </c>
      <c r="I12" s="65">
        <f t="shared" si="3"/>
        <v>0</v>
      </c>
      <c r="J12" s="66">
        <f t="shared" si="4"/>
        <v>270</v>
      </c>
      <c r="K12" s="61">
        <f t="shared" si="5"/>
        <v>200</v>
      </c>
      <c r="L12" s="67">
        <f t="shared" si="6"/>
        <v>0</v>
      </c>
      <c r="M12" s="62">
        <f t="shared" si="8"/>
        <v>0</v>
      </c>
      <c r="N12" s="62">
        <f t="shared" si="9"/>
        <v>800</v>
      </c>
      <c r="O12" s="62">
        <f t="shared" si="10"/>
        <v>0</v>
      </c>
      <c r="P12" s="62">
        <f t="shared" si="11"/>
        <v>1090</v>
      </c>
    </row>
    <row r="13" spans="2:16" ht="15" customHeight="1" x14ac:dyDescent="0.35">
      <c r="B13" s="68">
        <v>8</v>
      </c>
      <c r="C13" s="69">
        <f>'Rainfall Data'!J39</f>
        <v>46030</v>
      </c>
      <c r="D13" s="70">
        <f>'Rainfall Data'!P39</f>
        <v>0</v>
      </c>
      <c r="E13" s="71">
        <f t="shared" si="0"/>
        <v>0</v>
      </c>
      <c r="F13" s="72">
        <f t="shared" si="7"/>
        <v>200</v>
      </c>
      <c r="G13" s="73">
        <f t="shared" si="1"/>
        <v>270</v>
      </c>
      <c r="H13" s="74">
        <f t="shared" si="2"/>
        <v>0</v>
      </c>
      <c r="I13" s="75">
        <f t="shared" si="3"/>
        <v>0</v>
      </c>
      <c r="J13" s="76">
        <f t="shared" si="4"/>
        <v>270</v>
      </c>
      <c r="K13" s="71">
        <f t="shared" si="5"/>
        <v>200</v>
      </c>
      <c r="L13" s="77">
        <f t="shared" si="6"/>
        <v>0</v>
      </c>
      <c r="M13" s="72">
        <f t="shared" si="8"/>
        <v>0</v>
      </c>
      <c r="N13" s="72">
        <f t="shared" si="9"/>
        <v>800</v>
      </c>
      <c r="O13" s="72">
        <f t="shared" si="10"/>
        <v>0</v>
      </c>
      <c r="P13" s="72">
        <f t="shared" si="11"/>
        <v>1360</v>
      </c>
    </row>
    <row r="14" spans="2:16" ht="15" customHeight="1" x14ac:dyDescent="0.35">
      <c r="B14" s="52">
        <v>9</v>
      </c>
      <c r="C14" s="59">
        <f>'Rainfall Data'!J40</f>
        <v>46031</v>
      </c>
      <c r="D14" s="60">
        <f>'Rainfall Data'!P40</f>
        <v>0</v>
      </c>
      <c r="E14" s="61">
        <f t="shared" si="0"/>
        <v>0</v>
      </c>
      <c r="F14" s="62">
        <f t="shared" si="7"/>
        <v>200</v>
      </c>
      <c r="G14" s="63">
        <f t="shared" si="1"/>
        <v>270</v>
      </c>
      <c r="H14" s="64">
        <f t="shared" si="2"/>
        <v>0</v>
      </c>
      <c r="I14" s="65">
        <f t="shared" si="3"/>
        <v>0</v>
      </c>
      <c r="J14" s="66">
        <f t="shared" si="4"/>
        <v>270</v>
      </c>
      <c r="K14" s="61">
        <f t="shared" si="5"/>
        <v>200</v>
      </c>
      <c r="L14" s="67">
        <f t="shared" si="6"/>
        <v>0</v>
      </c>
      <c r="M14" s="62">
        <f t="shared" si="8"/>
        <v>0</v>
      </c>
      <c r="N14" s="62">
        <f t="shared" si="9"/>
        <v>800</v>
      </c>
      <c r="O14" s="62">
        <f t="shared" si="10"/>
        <v>0</v>
      </c>
      <c r="P14" s="62">
        <f t="shared" si="11"/>
        <v>1630</v>
      </c>
    </row>
    <row r="15" spans="2:16" ht="15" customHeight="1" x14ac:dyDescent="0.35">
      <c r="B15" s="68">
        <v>10</v>
      </c>
      <c r="C15" s="69">
        <f>'Rainfall Data'!J41</f>
        <v>46032</v>
      </c>
      <c r="D15" s="70">
        <f>'Rainfall Data'!P41</f>
        <v>0</v>
      </c>
      <c r="E15" s="71">
        <f t="shared" si="0"/>
        <v>0</v>
      </c>
      <c r="F15" s="72">
        <f t="shared" si="7"/>
        <v>200</v>
      </c>
      <c r="G15" s="73">
        <f t="shared" si="1"/>
        <v>270</v>
      </c>
      <c r="H15" s="74">
        <f t="shared" si="2"/>
        <v>0</v>
      </c>
      <c r="I15" s="75">
        <f t="shared" si="3"/>
        <v>0</v>
      </c>
      <c r="J15" s="76">
        <f t="shared" si="4"/>
        <v>270</v>
      </c>
      <c r="K15" s="71">
        <f t="shared" si="5"/>
        <v>200</v>
      </c>
      <c r="L15" s="77">
        <f t="shared" si="6"/>
        <v>0</v>
      </c>
      <c r="M15" s="72">
        <f t="shared" si="8"/>
        <v>0</v>
      </c>
      <c r="N15" s="72">
        <f t="shared" si="9"/>
        <v>800</v>
      </c>
      <c r="O15" s="72">
        <f t="shared" si="10"/>
        <v>0</v>
      </c>
      <c r="P15" s="72">
        <f t="shared" si="11"/>
        <v>1900</v>
      </c>
    </row>
    <row r="16" spans="2:16" ht="15" customHeight="1" x14ac:dyDescent="0.35">
      <c r="B16" s="52">
        <v>11</v>
      </c>
      <c r="C16" s="59">
        <f>'Rainfall Data'!J42</f>
        <v>46033</v>
      </c>
      <c r="D16" s="60">
        <f>'Rainfall Data'!P42</f>
        <v>0</v>
      </c>
      <c r="E16" s="61">
        <f t="shared" si="0"/>
        <v>0</v>
      </c>
      <c r="F16" s="62">
        <f t="shared" si="7"/>
        <v>200</v>
      </c>
      <c r="G16" s="63">
        <f t="shared" si="1"/>
        <v>270</v>
      </c>
      <c r="H16" s="64">
        <f t="shared" si="2"/>
        <v>0</v>
      </c>
      <c r="I16" s="65">
        <f t="shared" si="3"/>
        <v>0</v>
      </c>
      <c r="J16" s="66">
        <f t="shared" si="4"/>
        <v>270</v>
      </c>
      <c r="K16" s="61">
        <f t="shared" si="5"/>
        <v>200</v>
      </c>
      <c r="L16" s="67">
        <f t="shared" si="6"/>
        <v>0</v>
      </c>
      <c r="M16" s="62">
        <f t="shared" si="8"/>
        <v>0</v>
      </c>
      <c r="N16" s="62">
        <f t="shared" si="9"/>
        <v>800</v>
      </c>
      <c r="O16" s="62">
        <f t="shared" si="10"/>
        <v>0</v>
      </c>
      <c r="P16" s="62">
        <f t="shared" si="11"/>
        <v>2170</v>
      </c>
    </row>
    <row r="17" spans="2:16" ht="15" customHeight="1" x14ac:dyDescent="0.35">
      <c r="B17" s="68">
        <v>12</v>
      </c>
      <c r="C17" s="69">
        <f>'Rainfall Data'!J43</f>
        <v>46034</v>
      </c>
      <c r="D17" s="70">
        <f>'Rainfall Data'!P43</f>
        <v>0</v>
      </c>
      <c r="E17" s="71">
        <f t="shared" si="0"/>
        <v>0</v>
      </c>
      <c r="F17" s="72">
        <f t="shared" si="7"/>
        <v>200</v>
      </c>
      <c r="G17" s="73">
        <f t="shared" si="1"/>
        <v>270</v>
      </c>
      <c r="H17" s="74">
        <f t="shared" si="2"/>
        <v>0</v>
      </c>
      <c r="I17" s="75">
        <f t="shared" si="3"/>
        <v>0</v>
      </c>
      <c r="J17" s="76">
        <f t="shared" si="4"/>
        <v>270</v>
      </c>
      <c r="K17" s="71">
        <f t="shared" si="5"/>
        <v>200</v>
      </c>
      <c r="L17" s="77">
        <f t="shared" si="6"/>
        <v>0</v>
      </c>
      <c r="M17" s="72">
        <f t="shared" si="8"/>
        <v>0</v>
      </c>
      <c r="N17" s="72">
        <f t="shared" si="9"/>
        <v>800</v>
      </c>
      <c r="O17" s="72">
        <f t="shared" si="10"/>
        <v>0</v>
      </c>
      <c r="P17" s="72">
        <f t="shared" si="11"/>
        <v>2440</v>
      </c>
    </row>
    <row r="18" spans="2:16" ht="15" customHeight="1" x14ac:dyDescent="0.35">
      <c r="B18" s="52">
        <v>13</v>
      </c>
      <c r="C18" s="59">
        <f>'Rainfall Data'!J44</f>
        <v>46035</v>
      </c>
      <c r="D18" s="60">
        <f>'Rainfall Data'!P44</f>
        <v>0</v>
      </c>
      <c r="E18" s="61">
        <f t="shared" si="0"/>
        <v>0</v>
      </c>
      <c r="F18" s="62">
        <f t="shared" si="7"/>
        <v>200</v>
      </c>
      <c r="G18" s="63">
        <f t="shared" si="1"/>
        <v>270</v>
      </c>
      <c r="H18" s="64">
        <f t="shared" si="2"/>
        <v>0</v>
      </c>
      <c r="I18" s="65">
        <f t="shared" si="3"/>
        <v>0</v>
      </c>
      <c r="J18" s="66">
        <f t="shared" si="4"/>
        <v>270</v>
      </c>
      <c r="K18" s="61">
        <f t="shared" si="5"/>
        <v>200</v>
      </c>
      <c r="L18" s="67">
        <f t="shared" si="6"/>
        <v>0</v>
      </c>
      <c r="M18" s="62">
        <f t="shared" si="8"/>
        <v>0</v>
      </c>
      <c r="N18" s="62">
        <f t="shared" si="9"/>
        <v>800</v>
      </c>
      <c r="O18" s="62">
        <f t="shared" si="10"/>
        <v>0</v>
      </c>
      <c r="P18" s="62">
        <f t="shared" si="11"/>
        <v>2710</v>
      </c>
    </row>
    <row r="19" spans="2:16" ht="15" customHeight="1" x14ac:dyDescent="0.35">
      <c r="B19" s="68">
        <v>14</v>
      </c>
      <c r="C19" s="69">
        <f>'Rainfall Data'!J45</f>
        <v>46036</v>
      </c>
      <c r="D19" s="70">
        <f>'Rainfall Data'!P45</f>
        <v>0</v>
      </c>
      <c r="E19" s="71">
        <f t="shared" si="0"/>
        <v>0</v>
      </c>
      <c r="F19" s="72">
        <f t="shared" si="7"/>
        <v>200</v>
      </c>
      <c r="G19" s="73">
        <f t="shared" si="1"/>
        <v>270</v>
      </c>
      <c r="H19" s="74">
        <f t="shared" si="2"/>
        <v>0</v>
      </c>
      <c r="I19" s="75">
        <f t="shared" si="3"/>
        <v>0</v>
      </c>
      <c r="J19" s="76">
        <f t="shared" si="4"/>
        <v>270</v>
      </c>
      <c r="K19" s="71">
        <f t="shared" si="5"/>
        <v>200</v>
      </c>
      <c r="L19" s="77">
        <f t="shared" si="6"/>
        <v>0</v>
      </c>
      <c r="M19" s="72">
        <f t="shared" si="8"/>
        <v>0</v>
      </c>
      <c r="N19" s="72">
        <f t="shared" si="9"/>
        <v>800</v>
      </c>
      <c r="O19" s="72">
        <f t="shared" si="10"/>
        <v>0</v>
      </c>
      <c r="P19" s="72">
        <f t="shared" si="11"/>
        <v>2980</v>
      </c>
    </row>
    <row r="20" spans="2:16" ht="15" customHeight="1" x14ac:dyDescent="0.35">
      <c r="B20" s="52">
        <v>15</v>
      </c>
      <c r="C20" s="59">
        <f>'Rainfall Data'!J46</f>
        <v>46037</v>
      </c>
      <c r="D20" s="60">
        <f>'Rainfall Data'!P46</f>
        <v>0</v>
      </c>
      <c r="E20" s="61">
        <f t="shared" si="0"/>
        <v>0</v>
      </c>
      <c r="F20" s="62">
        <f t="shared" si="7"/>
        <v>200</v>
      </c>
      <c r="G20" s="63">
        <f t="shared" si="1"/>
        <v>270</v>
      </c>
      <c r="H20" s="64">
        <f t="shared" si="2"/>
        <v>0</v>
      </c>
      <c r="I20" s="65">
        <f t="shared" si="3"/>
        <v>0</v>
      </c>
      <c r="J20" s="66">
        <f t="shared" si="4"/>
        <v>270</v>
      </c>
      <c r="K20" s="61">
        <f t="shared" si="5"/>
        <v>200</v>
      </c>
      <c r="L20" s="67">
        <f t="shared" si="6"/>
        <v>0</v>
      </c>
      <c r="M20" s="62">
        <f t="shared" si="8"/>
        <v>0</v>
      </c>
      <c r="N20" s="62">
        <f t="shared" si="9"/>
        <v>800</v>
      </c>
      <c r="O20" s="62">
        <f t="shared" si="10"/>
        <v>0</v>
      </c>
      <c r="P20" s="62">
        <f t="shared" si="11"/>
        <v>3250</v>
      </c>
    </row>
    <row r="21" spans="2:16" ht="15" customHeight="1" x14ac:dyDescent="0.35">
      <c r="B21" s="68">
        <v>16</v>
      </c>
      <c r="C21" s="69">
        <f>'Rainfall Data'!J47</f>
        <v>46038</v>
      </c>
      <c r="D21" s="70">
        <f>'Rainfall Data'!P47</f>
        <v>3</v>
      </c>
      <c r="E21" s="71">
        <f t="shared" si="0"/>
        <v>344.64099999999996</v>
      </c>
      <c r="F21" s="72">
        <f t="shared" si="7"/>
        <v>200</v>
      </c>
      <c r="G21" s="73">
        <f t="shared" si="1"/>
        <v>270</v>
      </c>
      <c r="H21" s="74">
        <f t="shared" si="2"/>
        <v>270</v>
      </c>
      <c r="I21" s="75">
        <f t="shared" si="3"/>
        <v>0</v>
      </c>
      <c r="J21" s="76">
        <f t="shared" si="4"/>
        <v>0</v>
      </c>
      <c r="K21" s="71">
        <f t="shared" si="5"/>
        <v>274.64099999999996</v>
      </c>
      <c r="L21" s="77">
        <f t="shared" si="6"/>
        <v>0.78327499999999994</v>
      </c>
      <c r="M21" s="72">
        <f t="shared" si="8"/>
        <v>344.64099999999996</v>
      </c>
      <c r="N21" s="72">
        <f t="shared" si="9"/>
        <v>1070</v>
      </c>
      <c r="O21" s="72">
        <f t="shared" si="10"/>
        <v>0</v>
      </c>
      <c r="P21" s="72">
        <f t="shared" si="11"/>
        <v>3250</v>
      </c>
    </row>
    <row r="22" spans="2:16" ht="15" customHeight="1" x14ac:dyDescent="0.35">
      <c r="B22" s="52">
        <v>17</v>
      </c>
      <c r="C22" s="59">
        <f>'Rainfall Data'!J48</f>
        <v>46039</v>
      </c>
      <c r="D22" s="60">
        <f>'Rainfall Data'!P48</f>
        <v>0</v>
      </c>
      <c r="E22" s="61">
        <f t="shared" si="0"/>
        <v>0</v>
      </c>
      <c r="F22" s="62">
        <f t="shared" si="7"/>
        <v>274.64099999999996</v>
      </c>
      <c r="G22" s="63">
        <f t="shared" si="1"/>
        <v>270</v>
      </c>
      <c r="H22" s="64">
        <f t="shared" si="2"/>
        <v>74.640999999999963</v>
      </c>
      <c r="I22" s="65">
        <f t="shared" si="3"/>
        <v>0</v>
      </c>
      <c r="J22" s="66">
        <f t="shared" si="4"/>
        <v>195.35900000000004</v>
      </c>
      <c r="K22" s="61">
        <f t="shared" si="5"/>
        <v>200</v>
      </c>
      <c r="L22" s="67">
        <f t="shared" si="6"/>
        <v>0</v>
      </c>
      <c r="M22" s="62">
        <f t="shared" si="8"/>
        <v>344.64099999999996</v>
      </c>
      <c r="N22" s="62">
        <f t="shared" si="9"/>
        <v>1144.6410000000001</v>
      </c>
      <c r="O22" s="62">
        <f t="shared" si="10"/>
        <v>0</v>
      </c>
      <c r="P22" s="62">
        <f t="shared" si="11"/>
        <v>3445.3589999999999</v>
      </c>
    </row>
    <row r="23" spans="2:16" ht="15" customHeight="1" x14ac:dyDescent="0.35">
      <c r="B23" s="68">
        <v>18</v>
      </c>
      <c r="C23" s="69">
        <f>'Rainfall Data'!J49</f>
        <v>46040</v>
      </c>
      <c r="D23" s="70">
        <f>'Rainfall Data'!P49</f>
        <v>0</v>
      </c>
      <c r="E23" s="71">
        <f t="shared" si="0"/>
        <v>0</v>
      </c>
      <c r="F23" s="72">
        <f t="shared" si="7"/>
        <v>200</v>
      </c>
      <c r="G23" s="73">
        <f t="shared" si="1"/>
        <v>270</v>
      </c>
      <c r="H23" s="74">
        <f t="shared" si="2"/>
        <v>0</v>
      </c>
      <c r="I23" s="75">
        <f t="shared" si="3"/>
        <v>0</v>
      </c>
      <c r="J23" s="76">
        <f t="shared" si="4"/>
        <v>270</v>
      </c>
      <c r="K23" s="71">
        <f t="shared" si="5"/>
        <v>200</v>
      </c>
      <c r="L23" s="77">
        <f t="shared" si="6"/>
        <v>0</v>
      </c>
      <c r="M23" s="72">
        <f t="shared" si="8"/>
        <v>344.64099999999996</v>
      </c>
      <c r="N23" s="72">
        <f t="shared" si="9"/>
        <v>1144.6410000000001</v>
      </c>
      <c r="O23" s="72">
        <f t="shared" si="10"/>
        <v>0</v>
      </c>
      <c r="P23" s="72">
        <f t="shared" si="11"/>
        <v>3715.3589999999999</v>
      </c>
    </row>
    <row r="24" spans="2:16" ht="15" customHeight="1" x14ac:dyDescent="0.35">
      <c r="B24" s="52">
        <v>19</v>
      </c>
      <c r="C24" s="59">
        <f>'Rainfall Data'!J50</f>
        <v>46041</v>
      </c>
      <c r="D24" s="60">
        <f>'Rainfall Data'!P50</f>
        <v>0</v>
      </c>
      <c r="E24" s="61">
        <f t="shared" si="0"/>
        <v>0</v>
      </c>
      <c r="F24" s="62">
        <f t="shared" si="7"/>
        <v>200</v>
      </c>
      <c r="G24" s="63">
        <f t="shared" si="1"/>
        <v>270</v>
      </c>
      <c r="H24" s="64">
        <f t="shared" si="2"/>
        <v>0</v>
      </c>
      <c r="I24" s="65">
        <f t="shared" si="3"/>
        <v>0</v>
      </c>
      <c r="J24" s="66">
        <f t="shared" si="4"/>
        <v>270</v>
      </c>
      <c r="K24" s="61">
        <f t="shared" si="5"/>
        <v>200</v>
      </c>
      <c r="L24" s="67">
        <f t="shared" si="6"/>
        <v>0</v>
      </c>
      <c r="M24" s="62">
        <f t="shared" si="8"/>
        <v>344.64099999999996</v>
      </c>
      <c r="N24" s="62">
        <f t="shared" si="9"/>
        <v>1144.6410000000001</v>
      </c>
      <c r="O24" s="62">
        <f t="shared" si="10"/>
        <v>0</v>
      </c>
      <c r="P24" s="62">
        <f t="shared" si="11"/>
        <v>3985.3589999999999</v>
      </c>
    </row>
    <row r="25" spans="2:16" ht="15" customHeight="1" x14ac:dyDescent="0.35">
      <c r="B25" s="68">
        <v>20</v>
      </c>
      <c r="C25" s="69">
        <f>'Rainfall Data'!J51</f>
        <v>46042</v>
      </c>
      <c r="D25" s="70">
        <f>'Rainfall Data'!P51</f>
        <v>0</v>
      </c>
      <c r="E25" s="71">
        <f t="shared" si="0"/>
        <v>0</v>
      </c>
      <c r="F25" s="72">
        <f t="shared" si="7"/>
        <v>200</v>
      </c>
      <c r="G25" s="73">
        <f t="shared" si="1"/>
        <v>270</v>
      </c>
      <c r="H25" s="74">
        <f t="shared" si="2"/>
        <v>0</v>
      </c>
      <c r="I25" s="75">
        <f t="shared" si="3"/>
        <v>0</v>
      </c>
      <c r="J25" s="76">
        <f t="shared" si="4"/>
        <v>270</v>
      </c>
      <c r="K25" s="71">
        <f t="shared" si="5"/>
        <v>200</v>
      </c>
      <c r="L25" s="77">
        <f t="shared" si="6"/>
        <v>0</v>
      </c>
      <c r="M25" s="72">
        <f t="shared" si="8"/>
        <v>344.64099999999996</v>
      </c>
      <c r="N25" s="72">
        <f t="shared" si="9"/>
        <v>1144.6410000000001</v>
      </c>
      <c r="O25" s="72">
        <f t="shared" si="10"/>
        <v>0</v>
      </c>
      <c r="P25" s="72">
        <f t="shared" si="11"/>
        <v>4255.3590000000004</v>
      </c>
    </row>
    <row r="26" spans="2:16" ht="15" customHeight="1" x14ac:dyDescent="0.35">
      <c r="B26" s="52">
        <v>21</v>
      </c>
      <c r="C26" s="59">
        <f>'Rainfall Data'!J52</f>
        <v>46043</v>
      </c>
      <c r="D26" s="60">
        <f>'Rainfall Data'!P52</f>
        <v>0</v>
      </c>
      <c r="E26" s="61">
        <f t="shared" si="0"/>
        <v>0</v>
      </c>
      <c r="F26" s="62">
        <f t="shared" si="7"/>
        <v>200</v>
      </c>
      <c r="G26" s="63">
        <f t="shared" si="1"/>
        <v>270</v>
      </c>
      <c r="H26" s="64">
        <f t="shared" si="2"/>
        <v>0</v>
      </c>
      <c r="I26" s="65">
        <f t="shared" si="3"/>
        <v>0</v>
      </c>
      <c r="J26" s="66">
        <f t="shared" si="4"/>
        <v>270</v>
      </c>
      <c r="K26" s="61">
        <f t="shared" si="5"/>
        <v>200</v>
      </c>
      <c r="L26" s="67">
        <f t="shared" si="6"/>
        <v>0</v>
      </c>
      <c r="M26" s="62">
        <f t="shared" si="8"/>
        <v>344.64099999999996</v>
      </c>
      <c r="N26" s="62">
        <f t="shared" si="9"/>
        <v>1144.6410000000001</v>
      </c>
      <c r="O26" s="62">
        <f t="shared" si="10"/>
        <v>0</v>
      </c>
      <c r="P26" s="62">
        <f t="shared" si="11"/>
        <v>4525.3590000000004</v>
      </c>
    </row>
    <row r="27" spans="2:16" ht="15" customHeight="1" x14ac:dyDescent="0.35">
      <c r="B27" s="68">
        <v>22</v>
      </c>
      <c r="C27" s="69">
        <f>'Rainfall Data'!J53</f>
        <v>46044</v>
      </c>
      <c r="D27" s="70">
        <f>'Rainfall Data'!P53</f>
        <v>0</v>
      </c>
      <c r="E27" s="71">
        <f t="shared" si="0"/>
        <v>0</v>
      </c>
      <c r="F27" s="72">
        <f t="shared" si="7"/>
        <v>200</v>
      </c>
      <c r="G27" s="73">
        <f t="shared" si="1"/>
        <v>270</v>
      </c>
      <c r="H27" s="74">
        <f t="shared" si="2"/>
        <v>0</v>
      </c>
      <c r="I27" s="75">
        <f t="shared" si="3"/>
        <v>0</v>
      </c>
      <c r="J27" s="76">
        <f t="shared" si="4"/>
        <v>270</v>
      </c>
      <c r="K27" s="71">
        <f t="shared" si="5"/>
        <v>200</v>
      </c>
      <c r="L27" s="77">
        <f t="shared" si="6"/>
        <v>0</v>
      </c>
      <c r="M27" s="72">
        <f t="shared" si="8"/>
        <v>344.64099999999996</v>
      </c>
      <c r="N27" s="72">
        <f t="shared" si="9"/>
        <v>1144.6410000000001</v>
      </c>
      <c r="O27" s="72">
        <f t="shared" si="10"/>
        <v>0</v>
      </c>
      <c r="P27" s="72">
        <f t="shared" si="11"/>
        <v>4795.3590000000004</v>
      </c>
    </row>
    <row r="28" spans="2:16" ht="15" customHeight="1" x14ac:dyDescent="0.35">
      <c r="B28" s="52">
        <v>23</v>
      </c>
      <c r="C28" s="59">
        <f>'Rainfall Data'!J54</f>
        <v>46045</v>
      </c>
      <c r="D28" s="60">
        <f>'Rainfall Data'!P54</f>
        <v>0</v>
      </c>
      <c r="E28" s="61">
        <f t="shared" si="0"/>
        <v>0</v>
      </c>
      <c r="F28" s="62">
        <f t="shared" si="7"/>
        <v>200</v>
      </c>
      <c r="G28" s="63">
        <f t="shared" si="1"/>
        <v>270</v>
      </c>
      <c r="H28" s="64">
        <f t="shared" si="2"/>
        <v>0</v>
      </c>
      <c r="I28" s="65">
        <f t="shared" si="3"/>
        <v>0</v>
      </c>
      <c r="J28" s="66">
        <f t="shared" si="4"/>
        <v>270</v>
      </c>
      <c r="K28" s="61">
        <f t="shared" si="5"/>
        <v>200</v>
      </c>
      <c r="L28" s="67">
        <f t="shared" si="6"/>
        <v>0</v>
      </c>
      <c r="M28" s="62">
        <f t="shared" si="8"/>
        <v>344.64099999999996</v>
      </c>
      <c r="N28" s="62">
        <f t="shared" si="9"/>
        <v>1144.6410000000001</v>
      </c>
      <c r="O28" s="62">
        <f t="shared" si="10"/>
        <v>0</v>
      </c>
      <c r="P28" s="62">
        <f t="shared" si="11"/>
        <v>5065.3590000000004</v>
      </c>
    </row>
    <row r="29" spans="2:16" ht="15" customHeight="1" x14ac:dyDescent="0.35">
      <c r="B29" s="68">
        <v>24</v>
      </c>
      <c r="C29" s="69">
        <f>'Rainfall Data'!J55</f>
        <v>46046</v>
      </c>
      <c r="D29" s="70">
        <f>'Rainfall Data'!P55</f>
        <v>0</v>
      </c>
      <c r="E29" s="71">
        <f t="shared" si="0"/>
        <v>0</v>
      </c>
      <c r="F29" s="72">
        <f t="shared" si="7"/>
        <v>200</v>
      </c>
      <c r="G29" s="73">
        <f t="shared" si="1"/>
        <v>270</v>
      </c>
      <c r="H29" s="74">
        <f t="shared" si="2"/>
        <v>0</v>
      </c>
      <c r="I29" s="75">
        <f t="shared" si="3"/>
        <v>0</v>
      </c>
      <c r="J29" s="76">
        <f t="shared" si="4"/>
        <v>270</v>
      </c>
      <c r="K29" s="71">
        <f t="shared" si="5"/>
        <v>200</v>
      </c>
      <c r="L29" s="77">
        <f t="shared" si="6"/>
        <v>0</v>
      </c>
      <c r="M29" s="72">
        <f t="shared" si="8"/>
        <v>344.64099999999996</v>
      </c>
      <c r="N29" s="72">
        <f t="shared" si="9"/>
        <v>1144.6410000000001</v>
      </c>
      <c r="O29" s="72">
        <f t="shared" si="10"/>
        <v>0</v>
      </c>
      <c r="P29" s="72">
        <f t="shared" si="11"/>
        <v>5335.3590000000004</v>
      </c>
    </row>
    <row r="30" spans="2:16" ht="15" customHeight="1" x14ac:dyDescent="0.35">
      <c r="B30" s="52">
        <v>25</v>
      </c>
      <c r="C30" s="59">
        <f>'Rainfall Data'!J56</f>
        <v>46047</v>
      </c>
      <c r="D30" s="60">
        <f>'Rainfall Data'!P56</f>
        <v>0</v>
      </c>
      <c r="E30" s="61">
        <f t="shared" si="0"/>
        <v>0</v>
      </c>
      <c r="F30" s="62">
        <f t="shared" si="7"/>
        <v>200</v>
      </c>
      <c r="G30" s="63">
        <f t="shared" si="1"/>
        <v>270</v>
      </c>
      <c r="H30" s="64">
        <f t="shared" si="2"/>
        <v>0</v>
      </c>
      <c r="I30" s="65">
        <f t="shared" si="3"/>
        <v>0</v>
      </c>
      <c r="J30" s="66">
        <f t="shared" si="4"/>
        <v>270</v>
      </c>
      <c r="K30" s="61">
        <f t="shared" si="5"/>
        <v>200</v>
      </c>
      <c r="L30" s="67">
        <f t="shared" si="6"/>
        <v>0</v>
      </c>
      <c r="M30" s="62">
        <f t="shared" si="8"/>
        <v>344.64099999999996</v>
      </c>
      <c r="N30" s="62">
        <f t="shared" si="9"/>
        <v>1144.6410000000001</v>
      </c>
      <c r="O30" s="62">
        <f t="shared" si="10"/>
        <v>0</v>
      </c>
      <c r="P30" s="62">
        <f t="shared" si="11"/>
        <v>5605.3590000000004</v>
      </c>
    </row>
    <row r="31" spans="2:16" ht="15" customHeight="1" x14ac:dyDescent="0.35">
      <c r="B31" s="68">
        <v>26</v>
      </c>
      <c r="C31" s="69">
        <f>'Rainfall Data'!J57</f>
        <v>46048</v>
      </c>
      <c r="D31" s="70">
        <f>'Rainfall Data'!P57</f>
        <v>0</v>
      </c>
      <c r="E31" s="71">
        <f t="shared" si="0"/>
        <v>0</v>
      </c>
      <c r="F31" s="72">
        <f t="shared" si="7"/>
        <v>200</v>
      </c>
      <c r="G31" s="73">
        <f t="shared" si="1"/>
        <v>270</v>
      </c>
      <c r="H31" s="74">
        <f t="shared" si="2"/>
        <v>0</v>
      </c>
      <c r="I31" s="75">
        <f t="shared" si="3"/>
        <v>0</v>
      </c>
      <c r="J31" s="76">
        <f t="shared" si="4"/>
        <v>270</v>
      </c>
      <c r="K31" s="71">
        <f t="shared" si="5"/>
        <v>200</v>
      </c>
      <c r="L31" s="77">
        <f t="shared" si="6"/>
        <v>0</v>
      </c>
      <c r="M31" s="72">
        <f t="shared" si="8"/>
        <v>344.64099999999996</v>
      </c>
      <c r="N31" s="72">
        <f t="shared" si="9"/>
        <v>1144.6410000000001</v>
      </c>
      <c r="O31" s="72">
        <f t="shared" si="10"/>
        <v>0</v>
      </c>
      <c r="P31" s="72">
        <f t="shared" si="11"/>
        <v>5875.3590000000004</v>
      </c>
    </row>
    <row r="32" spans="2:16" ht="15" customHeight="1" x14ac:dyDescent="0.35">
      <c r="B32" s="52">
        <v>27</v>
      </c>
      <c r="C32" s="59">
        <f>'Rainfall Data'!J58</f>
        <v>46049</v>
      </c>
      <c r="D32" s="60">
        <f>'Rainfall Data'!P58</f>
        <v>0</v>
      </c>
      <c r="E32" s="61">
        <f t="shared" si="0"/>
        <v>0</v>
      </c>
      <c r="F32" s="62">
        <f t="shared" si="7"/>
        <v>200</v>
      </c>
      <c r="G32" s="63">
        <f t="shared" si="1"/>
        <v>270</v>
      </c>
      <c r="H32" s="64">
        <f t="shared" si="2"/>
        <v>0</v>
      </c>
      <c r="I32" s="65">
        <f t="shared" si="3"/>
        <v>0</v>
      </c>
      <c r="J32" s="66">
        <f t="shared" si="4"/>
        <v>270</v>
      </c>
      <c r="K32" s="61">
        <f t="shared" si="5"/>
        <v>200</v>
      </c>
      <c r="L32" s="67">
        <f t="shared" si="6"/>
        <v>0</v>
      </c>
      <c r="M32" s="62">
        <f t="shared" si="8"/>
        <v>344.64099999999996</v>
      </c>
      <c r="N32" s="62">
        <f t="shared" si="9"/>
        <v>1144.6410000000001</v>
      </c>
      <c r="O32" s="62">
        <f t="shared" si="10"/>
        <v>0</v>
      </c>
      <c r="P32" s="62">
        <f t="shared" si="11"/>
        <v>6145.3590000000004</v>
      </c>
    </row>
    <row r="33" spans="2:16" ht="15" customHeight="1" x14ac:dyDescent="0.35">
      <c r="B33" s="68">
        <v>28</v>
      </c>
      <c r="C33" s="69">
        <f>'Rainfall Data'!J59</f>
        <v>46050</v>
      </c>
      <c r="D33" s="70">
        <f>'Rainfall Data'!P59</f>
        <v>0</v>
      </c>
      <c r="E33" s="71">
        <f t="shared" si="0"/>
        <v>0</v>
      </c>
      <c r="F33" s="72">
        <f t="shared" si="7"/>
        <v>200</v>
      </c>
      <c r="G33" s="73">
        <f t="shared" si="1"/>
        <v>270</v>
      </c>
      <c r="H33" s="74">
        <f t="shared" si="2"/>
        <v>0</v>
      </c>
      <c r="I33" s="75">
        <f t="shared" si="3"/>
        <v>0</v>
      </c>
      <c r="J33" s="76">
        <f t="shared" si="4"/>
        <v>270</v>
      </c>
      <c r="K33" s="71">
        <f t="shared" si="5"/>
        <v>200</v>
      </c>
      <c r="L33" s="77">
        <f t="shared" si="6"/>
        <v>0</v>
      </c>
      <c r="M33" s="72">
        <f t="shared" si="8"/>
        <v>344.64099999999996</v>
      </c>
      <c r="N33" s="72">
        <f t="shared" si="9"/>
        <v>1144.6410000000001</v>
      </c>
      <c r="O33" s="72">
        <f t="shared" si="10"/>
        <v>0</v>
      </c>
      <c r="P33" s="72">
        <f t="shared" si="11"/>
        <v>6415.3590000000004</v>
      </c>
    </row>
    <row r="34" spans="2:16" ht="15" customHeight="1" x14ac:dyDescent="0.35">
      <c r="B34" s="52">
        <v>29</v>
      </c>
      <c r="C34" s="59">
        <f>'Rainfall Data'!J60</f>
        <v>46051</v>
      </c>
      <c r="D34" s="60">
        <f>'Rainfall Data'!P60</f>
        <v>0</v>
      </c>
      <c r="E34" s="61">
        <f t="shared" si="0"/>
        <v>0</v>
      </c>
      <c r="F34" s="62">
        <f t="shared" si="7"/>
        <v>200</v>
      </c>
      <c r="G34" s="63">
        <f t="shared" si="1"/>
        <v>270</v>
      </c>
      <c r="H34" s="64">
        <f t="shared" si="2"/>
        <v>0</v>
      </c>
      <c r="I34" s="65">
        <f t="shared" si="3"/>
        <v>0</v>
      </c>
      <c r="J34" s="66">
        <f t="shared" si="4"/>
        <v>270</v>
      </c>
      <c r="K34" s="61">
        <f t="shared" si="5"/>
        <v>200</v>
      </c>
      <c r="L34" s="67">
        <f t="shared" si="6"/>
        <v>0</v>
      </c>
      <c r="M34" s="62">
        <f t="shared" si="8"/>
        <v>344.64099999999996</v>
      </c>
      <c r="N34" s="62">
        <f t="shared" si="9"/>
        <v>1144.6410000000001</v>
      </c>
      <c r="O34" s="62">
        <f t="shared" si="10"/>
        <v>0</v>
      </c>
      <c r="P34" s="62">
        <f t="shared" si="11"/>
        <v>6685.3590000000004</v>
      </c>
    </row>
    <row r="35" spans="2:16" ht="15" customHeight="1" x14ac:dyDescent="0.35">
      <c r="B35" s="68">
        <v>30</v>
      </c>
      <c r="C35" s="69">
        <f>'Rainfall Data'!J61</f>
        <v>46052</v>
      </c>
      <c r="D35" s="70">
        <f>'Rainfall Data'!P61</f>
        <v>0</v>
      </c>
      <c r="E35" s="71">
        <f t="shared" si="0"/>
        <v>0</v>
      </c>
      <c r="F35" s="72">
        <f t="shared" si="7"/>
        <v>200</v>
      </c>
      <c r="G35" s="73">
        <f t="shared" si="1"/>
        <v>270</v>
      </c>
      <c r="H35" s="74">
        <f t="shared" si="2"/>
        <v>0</v>
      </c>
      <c r="I35" s="75">
        <f t="shared" si="3"/>
        <v>0</v>
      </c>
      <c r="J35" s="76">
        <f t="shared" si="4"/>
        <v>270</v>
      </c>
      <c r="K35" s="71">
        <f t="shared" si="5"/>
        <v>200</v>
      </c>
      <c r="L35" s="77">
        <f t="shared" si="6"/>
        <v>0</v>
      </c>
      <c r="M35" s="72">
        <f t="shared" si="8"/>
        <v>344.64099999999996</v>
      </c>
      <c r="N35" s="72">
        <f t="shared" si="9"/>
        <v>1144.6410000000001</v>
      </c>
      <c r="O35" s="72">
        <f t="shared" si="10"/>
        <v>0</v>
      </c>
      <c r="P35" s="72">
        <f t="shared" si="11"/>
        <v>6955.3590000000004</v>
      </c>
    </row>
    <row r="36" spans="2:16" ht="15" customHeight="1" x14ac:dyDescent="0.35">
      <c r="B36" s="52">
        <v>31</v>
      </c>
      <c r="C36" s="59">
        <f>'Rainfall Data'!J62</f>
        <v>46053</v>
      </c>
      <c r="D36" s="60">
        <f>'Rainfall Data'!P62</f>
        <v>0</v>
      </c>
      <c r="E36" s="61">
        <f t="shared" si="0"/>
        <v>0</v>
      </c>
      <c r="F36" s="62">
        <f t="shared" si="7"/>
        <v>200</v>
      </c>
      <c r="G36" s="63">
        <f t="shared" si="1"/>
        <v>270</v>
      </c>
      <c r="H36" s="64">
        <f t="shared" si="2"/>
        <v>0</v>
      </c>
      <c r="I36" s="65">
        <f t="shared" si="3"/>
        <v>0</v>
      </c>
      <c r="J36" s="66">
        <f t="shared" si="4"/>
        <v>270</v>
      </c>
      <c r="K36" s="61">
        <f t="shared" si="5"/>
        <v>200</v>
      </c>
      <c r="L36" s="67">
        <f t="shared" si="6"/>
        <v>0</v>
      </c>
      <c r="M36" s="62">
        <f t="shared" si="8"/>
        <v>344.64099999999996</v>
      </c>
      <c r="N36" s="62">
        <f t="shared" si="9"/>
        <v>1144.6410000000001</v>
      </c>
      <c r="O36" s="62">
        <f t="shared" si="10"/>
        <v>0</v>
      </c>
      <c r="P36" s="62">
        <f t="shared" si="11"/>
        <v>7225.3590000000004</v>
      </c>
    </row>
    <row r="37" spans="2:16" ht="15" customHeight="1" x14ac:dyDescent="0.35">
      <c r="B37" s="68">
        <v>32</v>
      </c>
      <c r="C37" s="69">
        <f>'Rainfall Data'!J63</f>
        <v>46054</v>
      </c>
      <c r="D37" s="70">
        <f>'Rainfall Data'!P63</f>
        <v>0</v>
      </c>
      <c r="E37" s="71">
        <f t="shared" si="0"/>
        <v>0</v>
      </c>
      <c r="F37" s="72">
        <f t="shared" si="7"/>
        <v>200</v>
      </c>
      <c r="G37" s="73">
        <f t="shared" si="1"/>
        <v>270</v>
      </c>
      <c r="H37" s="74">
        <f t="shared" si="2"/>
        <v>0</v>
      </c>
      <c r="I37" s="75">
        <f t="shared" si="3"/>
        <v>0</v>
      </c>
      <c r="J37" s="76">
        <f t="shared" si="4"/>
        <v>270</v>
      </c>
      <c r="K37" s="71">
        <f t="shared" si="5"/>
        <v>200</v>
      </c>
      <c r="L37" s="77">
        <f t="shared" si="6"/>
        <v>0</v>
      </c>
      <c r="M37" s="72">
        <f t="shared" si="8"/>
        <v>344.64099999999996</v>
      </c>
      <c r="N37" s="72">
        <f t="shared" si="9"/>
        <v>1144.6410000000001</v>
      </c>
      <c r="O37" s="72">
        <f t="shared" si="10"/>
        <v>0</v>
      </c>
      <c r="P37" s="72">
        <f t="shared" si="11"/>
        <v>7495.3590000000004</v>
      </c>
    </row>
    <row r="38" spans="2:16" ht="15" customHeight="1" x14ac:dyDescent="0.35">
      <c r="B38" s="52">
        <v>33</v>
      </c>
      <c r="C38" s="59">
        <f>'Rainfall Data'!J64</f>
        <v>46055</v>
      </c>
      <c r="D38" s="60">
        <f>'Rainfall Data'!P64</f>
        <v>0</v>
      </c>
      <c r="E38" s="61">
        <f t="shared" si="0"/>
        <v>0</v>
      </c>
      <c r="F38" s="62">
        <f t="shared" si="7"/>
        <v>200</v>
      </c>
      <c r="G38" s="63">
        <f t="shared" si="1"/>
        <v>270</v>
      </c>
      <c r="H38" s="64">
        <f t="shared" si="2"/>
        <v>0</v>
      </c>
      <c r="I38" s="65">
        <f t="shared" si="3"/>
        <v>0</v>
      </c>
      <c r="J38" s="66">
        <f t="shared" si="4"/>
        <v>270</v>
      </c>
      <c r="K38" s="61">
        <f t="shared" si="5"/>
        <v>200</v>
      </c>
      <c r="L38" s="67">
        <f t="shared" si="6"/>
        <v>0</v>
      </c>
      <c r="M38" s="62">
        <f t="shared" si="8"/>
        <v>344.64099999999996</v>
      </c>
      <c r="N38" s="62">
        <f t="shared" si="9"/>
        <v>1144.6410000000001</v>
      </c>
      <c r="O38" s="62">
        <f t="shared" si="10"/>
        <v>0</v>
      </c>
      <c r="P38" s="62">
        <f t="shared" si="11"/>
        <v>7765.3590000000004</v>
      </c>
    </row>
    <row r="39" spans="2:16" ht="15" customHeight="1" x14ac:dyDescent="0.35">
      <c r="B39" s="68">
        <v>34</v>
      </c>
      <c r="C39" s="69">
        <f>'Rainfall Data'!J65</f>
        <v>46056</v>
      </c>
      <c r="D39" s="70">
        <f>'Rainfall Data'!P65</f>
        <v>0</v>
      </c>
      <c r="E39" s="71">
        <f t="shared" si="0"/>
        <v>0</v>
      </c>
      <c r="F39" s="72">
        <f t="shared" si="7"/>
        <v>200</v>
      </c>
      <c r="G39" s="73">
        <f t="shared" si="1"/>
        <v>270</v>
      </c>
      <c r="H39" s="74">
        <f t="shared" si="2"/>
        <v>0</v>
      </c>
      <c r="I39" s="75">
        <f t="shared" si="3"/>
        <v>0</v>
      </c>
      <c r="J39" s="76">
        <f t="shared" si="4"/>
        <v>270</v>
      </c>
      <c r="K39" s="71">
        <f t="shared" si="5"/>
        <v>200</v>
      </c>
      <c r="L39" s="77">
        <f t="shared" si="6"/>
        <v>0</v>
      </c>
      <c r="M39" s="72">
        <f t="shared" si="8"/>
        <v>344.64099999999996</v>
      </c>
      <c r="N39" s="72">
        <f t="shared" si="9"/>
        <v>1144.6410000000001</v>
      </c>
      <c r="O39" s="72">
        <f t="shared" si="10"/>
        <v>0</v>
      </c>
      <c r="P39" s="72">
        <f t="shared" si="11"/>
        <v>8035.3590000000004</v>
      </c>
    </row>
    <row r="40" spans="2:16" ht="15" customHeight="1" x14ac:dyDescent="0.35">
      <c r="B40" s="52">
        <v>35</v>
      </c>
      <c r="C40" s="59">
        <f>'Rainfall Data'!J66</f>
        <v>46057</v>
      </c>
      <c r="D40" s="60">
        <f>'Rainfall Data'!P66</f>
        <v>0</v>
      </c>
      <c r="E40" s="61">
        <f t="shared" si="0"/>
        <v>0</v>
      </c>
      <c r="F40" s="62">
        <f t="shared" si="7"/>
        <v>200</v>
      </c>
      <c r="G40" s="63">
        <f t="shared" si="1"/>
        <v>270</v>
      </c>
      <c r="H40" s="64">
        <f t="shared" si="2"/>
        <v>0</v>
      </c>
      <c r="I40" s="65">
        <f t="shared" si="3"/>
        <v>0</v>
      </c>
      <c r="J40" s="66">
        <f t="shared" si="4"/>
        <v>270</v>
      </c>
      <c r="K40" s="61">
        <f t="shared" si="5"/>
        <v>200</v>
      </c>
      <c r="L40" s="67">
        <f t="shared" si="6"/>
        <v>0</v>
      </c>
      <c r="M40" s="62">
        <f t="shared" si="8"/>
        <v>344.64099999999996</v>
      </c>
      <c r="N40" s="62">
        <f t="shared" si="9"/>
        <v>1144.6410000000001</v>
      </c>
      <c r="O40" s="62">
        <f t="shared" si="10"/>
        <v>0</v>
      </c>
      <c r="P40" s="62">
        <f t="shared" si="11"/>
        <v>8305.3590000000004</v>
      </c>
    </row>
    <row r="41" spans="2:16" ht="15" customHeight="1" x14ac:dyDescent="0.35">
      <c r="B41" s="68">
        <v>36</v>
      </c>
      <c r="C41" s="69">
        <f>'Rainfall Data'!J67</f>
        <v>46058</v>
      </c>
      <c r="D41" s="70">
        <f>'Rainfall Data'!P67</f>
        <v>0</v>
      </c>
      <c r="E41" s="71">
        <f t="shared" si="0"/>
        <v>0</v>
      </c>
      <c r="F41" s="72">
        <f t="shared" si="7"/>
        <v>200</v>
      </c>
      <c r="G41" s="73">
        <f t="shared" si="1"/>
        <v>270</v>
      </c>
      <c r="H41" s="74">
        <f t="shared" si="2"/>
        <v>0</v>
      </c>
      <c r="I41" s="75">
        <f t="shared" si="3"/>
        <v>0</v>
      </c>
      <c r="J41" s="76">
        <f t="shared" si="4"/>
        <v>270</v>
      </c>
      <c r="K41" s="71">
        <f t="shared" si="5"/>
        <v>200</v>
      </c>
      <c r="L41" s="77">
        <f t="shared" si="6"/>
        <v>0</v>
      </c>
      <c r="M41" s="72">
        <f t="shared" si="8"/>
        <v>344.64099999999996</v>
      </c>
      <c r="N41" s="72">
        <f t="shared" si="9"/>
        <v>1144.6410000000001</v>
      </c>
      <c r="O41" s="72">
        <f t="shared" si="10"/>
        <v>0</v>
      </c>
      <c r="P41" s="72">
        <f t="shared" si="11"/>
        <v>8575.3590000000004</v>
      </c>
    </row>
    <row r="42" spans="2:16" ht="15" customHeight="1" x14ac:dyDescent="0.35">
      <c r="B42" s="52">
        <v>37</v>
      </c>
      <c r="C42" s="59">
        <f>'Rainfall Data'!J68</f>
        <v>46059</v>
      </c>
      <c r="D42" s="60">
        <f>'Rainfall Data'!P68</f>
        <v>0</v>
      </c>
      <c r="E42" s="61">
        <f t="shared" si="0"/>
        <v>0</v>
      </c>
      <c r="F42" s="62">
        <f t="shared" si="7"/>
        <v>200</v>
      </c>
      <c r="G42" s="63">
        <f t="shared" si="1"/>
        <v>270</v>
      </c>
      <c r="H42" s="64">
        <f t="shared" si="2"/>
        <v>0</v>
      </c>
      <c r="I42" s="65">
        <f t="shared" si="3"/>
        <v>0</v>
      </c>
      <c r="J42" s="66">
        <f t="shared" si="4"/>
        <v>270</v>
      </c>
      <c r="K42" s="61">
        <f t="shared" si="5"/>
        <v>200</v>
      </c>
      <c r="L42" s="67">
        <f t="shared" si="6"/>
        <v>0</v>
      </c>
      <c r="M42" s="62">
        <f t="shared" si="8"/>
        <v>344.64099999999996</v>
      </c>
      <c r="N42" s="62">
        <f t="shared" si="9"/>
        <v>1144.6410000000001</v>
      </c>
      <c r="O42" s="62">
        <f t="shared" si="10"/>
        <v>0</v>
      </c>
      <c r="P42" s="62">
        <f t="shared" si="11"/>
        <v>8845.3590000000004</v>
      </c>
    </row>
    <row r="43" spans="2:16" ht="15" customHeight="1" x14ac:dyDescent="0.35">
      <c r="B43" s="68">
        <v>38</v>
      </c>
      <c r="C43" s="69">
        <f>'Rainfall Data'!J69</f>
        <v>46060</v>
      </c>
      <c r="D43" s="70">
        <f>'Rainfall Data'!P69</f>
        <v>0</v>
      </c>
      <c r="E43" s="71">
        <f t="shared" si="0"/>
        <v>0</v>
      </c>
      <c r="F43" s="72">
        <f t="shared" si="7"/>
        <v>200</v>
      </c>
      <c r="G43" s="73">
        <f t="shared" si="1"/>
        <v>270</v>
      </c>
      <c r="H43" s="74">
        <f t="shared" si="2"/>
        <v>0</v>
      </c>
      <c r="I43" s="75">
        <f t="shared" si="3"/>
        <v>0</v>
      </c>
      <c r="J43" s="76">
        <f t="shared" si="4"/>
        <v>270</v>
      </c>
      <c r="K43" s="71">
        <f t="shared" si="5"/>
        <v>200</v>
      </c>
      <c r="L43" s="77">
        <f t="shared" si="6"/>
        <v>0</v>
      </c>
      <c r="M43" s="72">
        <f t="shared" si="8"/>
        <v>344.64099999999996</v>
      </c>
      <c r="N43" s="72">
        <f t="shared" si="9"/>
        <v>1144.6410000000001</v>
      </c>
      <c r="O43" s="72">
        <f t="shared" si="10"/>
        <v>0</v>
      </c>
      <c r="P43" s="72">
        <f t="shared" si="11"/>
        <v>9115.3590000000004</v>
      </c>
    </row>
    <row r="44" spans="2:16" ht="15" customHeight="1" x14ac:dyDescent="0.35">
      <c r="B44" s="52">
        <v>39</v>
      </c>
      <c r="C44" s="59">
        <f>'Rainfall Data'!J70</f>
        <v>46061</v>
      </c>
      <c r="D44" s="60">
        <f>'Rainfall Data'!P70</f>
        <v>0</v>
      </c>
      <c r="E44" s="61">
        <f t="shared" si="0"/>
        <v>0</v>
      </c>
      <c r="F44" s="62">
        <f t="shared" si="7"/>
        <v>200</v>
      </c>
      <c r="G44" s="63">
        <f t="shared" si="1"/>
        <v>270</v>
      </c>
      <c r="H44" s="64">
        <f t="shared" si="2"/>
        <v>0</v>
      </c>
      <c r="I44" s="65">
        <f t="shared" si="3"/>
        <v>0</v>
      </c>
      <c r="J44" s="66">
        <f t="shared" si="4"/>
        <v>270</v>
      </c>
      <c r="K44" s="61">
        <f t="shared" si="5"/>
        <v>200</v>
      </c>
      <c r="L44" s="67">
        <f t="shared" si="6"/>
        <v>0</v>
      </c>
      <c r="M44" s="62">
        <f t="shared" si="8"/>
        <v>344.64099999999996</v>
      </c>
      <c r="N44" s="62">
        <f t="shared" si="9"/>
        <v>1144.6410000000001</v>
      </c>
      <c r="O44" s="62">
        <f t="shared" si="10"/>
        <v>0</v>
      </c>
      <c r="P44" s="62">
        <f t="shared" si="11"/>
        <v>9385.3590000000004</v>
      </c>
    </row>
    <row r="45" spans="2:16" ht="15" customHeight="1" x14ac:dyDescent="0.35">
      <c r="B45" s="68">
        <v>40</v>
      </c>
      <c r="C45" s="69">
        <f>'Rainfall Data'!J71</f>
        <v>46062</v>
      </c>
      <c r="D45" s="70">
        <f>'Rainfall Data'!P71</f>
        <v>0</v>
      </c>
      <c r="E45" s="71">
        <f t="shared" si="0"/>
        <v>0</v>
      </c>
      <c r="F45" s="72">
        <f t="shared" si="7"/>
        <v>200</v>
      </c>
      <c r="G45" s="73">
        <f t="shared" si="1"/>
        <v>270</v>
      </c>
      <c r="H45" s="74">
        <f t="shared" si="2"/>
        <v>0</v>
      </c>
      <c r="I45" s="75">
        <f t="shared" si="3"/>
        <v>0</v>
      </c>
      <c r="J45" s="76">
        <f t="shared" si="4"/>
        <v>270</v>
      </c>
      <c r="K45" s="71">
        <f t="shared" si="5"/>
        <v>200</v>
      </c>
      <c r="L45" s="77">
        <f t="shared" si="6"/>
        <v>0</v>
      </c>
      <c r="M45" s="72">
        <f t="shared" si="8"/>
        <v>344.64099999999996</v>
      </c>
      <c r="N45" s="72">
        <f t="shared" si="9"/>
        <v>1144.6410000000001</v>
      </c>
      <c r="O45" s="72">
        <f t="shared" si="10"/>
        <v>0</v>
      </c>
      <c r="P45" s="72">
        <f t="shared" si="11"/>
        <v>9655.3590000000004</v>
      </c>
    </row>
    <row r="46" spans="2:16" ht="15" customHeight="1" x14ac:dyDescent="0.35">
      <c r="B46" s="52">
        <v>41</v>
      </c>
      <c r="C46" s="59">
        <f>'Rainfall Data'!J72</f>
        <v>46063</v>
      </c>
      <c r="D46" s="60">
        <f>'Rainfall Data'!P72</f>
        <v>0</v>
      </c>
      <c r="E46" s="61">
        <f t="shared" si="0"/>
        <v>0</v>
      </c>
      <c r="F46" s="62">
        <f t="shared" si="7"/>
        <v>200</v>
      </c>
      <c r="G46" s="63">
        <f t="shared" si="1"/>
        <v>270</v>
      </c>
      <c r="H46" s="64">
        <f t="shared" si="2"/>
        <v>0</v>
      </c>
      <c r="I46" s="65">
        <f t="shared" si="3"/>
        <v>0</v>
      </c>
      <c r="J46" s="66">
        <f t="shared" si="4"/>
        <v>270</v>
      </c>
      <c r="K46" s="61">
        <f t="shared" si="5"/>
        <v>200</v>
      </c>
      <c r="L46" s="67">
        <f t="shared" si="6"/>
        <v>0</v>
      </c>
      <c r="M46" s="62">
        <f t="shared" si="8"/>
        <v>344.64099999999996</v>
      </c>
      <c r="N46" s="62">
        <f t="shared" si="9"/>
        <v>1144.6410000000001</v>
      </c>
      <c r="O46" s="62">
        <f t="shared" si="10"/>
        <v>0</v>
      </c>
      <c r="P46" s="62">
        <f t="shared" si="11"/>
        <v>9925.3590000000004</v>
      </c>
    </row>
    <row r="47" spans="2:16" ht="15" customHeight="1" x14ac:dyDescent="0.35">
      <c r="B47" s="68">
        <v>42</v>
      </c>
      <c r="C47" s="69">
        <f>'Rainfall Data'!J73</f>
        <v>46064</v>
      </c>
      <c r="D47" s="70">
        <f>'Rainfall Data'!P73</f>
        <v>0</v>
      </c>
      <c r="E47" s="71">
        <f t="shared" si="0"/>
        <v>0</v>
      </c>
      <c r="F47" s="72">
        <f t="shared" si="7"/>
        <v>200</v>
      </c>
      <c r="G47" s="73">
        <f t="shared" si="1"/>
        <v>270</v>
      </c>
      <c r="H47" s="74">
        <f t="shared" si="2"/>
        <v>0</v>
      </c>
      <c r="I47" s="75">
        <f t="shared" si="3"/>
        <v>0</v>
      </c>
      <c r="J47" s="76">
        <f t="shared" si="4"/>
        <v>270</v>
      </c>
      <c r="K47" s="71">
        <f t="shared" si="5"/>
        <v>200</v>
      </c>
      <c r="L47" s="77">
        <f t="shared" si="6"/>
        <v>0</v>
      </c>
      <c r="M47" s="72">
        <f t="shared" si="8"/>
        <v>344.64099999999996</v>
      </c>
      <c r="N47" s="72">
        <f t="shared" si="9"/>
        <v>1144.6410000000001</v>
      </c>
      <c r="O47" s="72">
        <f t="shared" si="10"/>
        <v>0</v>
      </c>
      <c r="P47" s="72">
        <f t="shared" si="11"/>
        <v>10195.359</v>
      </c>
    </row>
    <row r="48" spans="2:16" ht="15" customHeight="1" x14ac:dyDescent="0.35">
      <c r="B48" s="52">
        <v>43</v>
      </c>
      <c r="C48" s="59">
        <f>'Rainfall Data'!J74</f>
        <v>46065</v>
      </c>
      <c r="D48" s="60">
        <f>'Rainfall Data'!P74</f>
        <v>0</v>
      </c>
      <c r="E48" s="61">
        <f t="shared" si="0"/>
        <v>0</v>
      </c>
      <c r="F48" s="62">
        <f t="shared" si="7"/>
        <v>200</v>
      </c>
      <c r="G48" s="63">
        <f t="shared" si="1"/>
        <v>270</v>
      </c>
      <c r="H48" s="64">
        <f t="shared" si="2"/>
        <v>0</v>
      </c>
      <c r="I48" s="65">
        <f t="shared" si="3"/>
        <v>0</v>
      </c>
      <c r="J48" s="66">
        <f t="shared" si="4"/>
        <v>270</v>
      </c>
      <c r="K48" s="61">
        <f t="shared" si="5"/>
        <v>200</v>
      </c>
      <c r="L48" s="67">
        <f t="shared" si="6"/>
        <v>0</v>
      </c>
      <c r="M48" s="62">
        <f t="shared" si="8"/>
        <v>344.64099999999996</v>
      </c>
      <c r="N48" s="62">
        <f t="shared" si="9"/>
        <v>1144.6410000000001</v>
      </c>
      <c r="O48" s="62">
        <f t="shared" si="10"/>
        <v>0</v>
      </c>
      <c r="P48" s="62">
        <f t="shared" si="11"/>
        <v>10465.359</v>
      </c>
    </row>
    <row r="49" spans="2:16" ht="15" customHeight="1" x14ac:dyDescent="0.35">
      <c r="B49" s="68">
        <v>44</v>
      </c>
      <c r="C49" s="69">
        <f>'Rainfall Data'!J75</f>
        <v>46066</v>
      </c>
      <c r="D49" s="70">
        <f>'Rainfall Data'!P75</f>
        <v>0</v>
      </c>
      <c r="E49" s="71">
        <f t="shared" si="0"/>
        <v>0</v>
      </c>
      <c r="F49" s="72">
        <f t="shared" si="7"/>
        <v>200</v>
      </c>
      <c r="G49" s="73">
        <f t="shared" si="1"/>
        <v>270</v>
      </c>
      <c r="H49" s="74">
        <f t="shared" si="2"/>
        <v>0</v>
      </c>
      <c r="I49" s="75">
        <f t="shared" si="3"/>
        <v>0</v>
      </c>
      <c r="J49" s="76">
        <f t="shared" si="4"/>
        <v>270</v>
      </c>
      <c r="K49" s="71">
        <f t="shared" si="5"/>
        <v>200</v>
      </c>
      <c r="L49" s="77">
        <f t="shared" si="6"/>
        <v>0</v>
      </c>
      <c r="M49" s="72">
        <f t="shared" si="8"/>
        <v>344.64099999999996</v>
      </c>
      <c r="N49" s="72">
        <f t="shared" si="9"/>
        <v>1144.6410000000001</v>
      </c>
      <c r="O49" s="72">
        <f t="shared" si="10"/>
        <v>0</v>
      </c>
      <c r="P49" s="72">
        <f t="shared" si="11"/>
        <v>10735.359</v>
      </c>
    </row>
    <row r="50" spans="2:16" ht="15" customHeight="1" x14ac:dyDescent="0.35">
      <c r="B50" s="52">
        <v>45</v>
      </c>
      <c r="C50" s="59">
        <f>'Rainfall Data'!J76</f>
        <v>46067</v>
      </c>
      <c r="D50" s="60">
        <f>'Rainfall Data'!P76</f>
        <v>2</v>
      </c>
      <c r="E50" s="61">
        <f t="shared" si="0"/>
        <v>172.32049999999998</v>
      </c>
      <c r="F50" s="62">
        <f t="shared" si="7"/>
        <v>200</v>
      </c>
      <c r="G50" s="63">
        <f t="shared" si="1"/>
        <v>270</v>
      </c>
      <c r="H50" s="64">
        <f t="shared" si="2"/>
        <v>172.32049999999998</v>
      </c>
      <c r="I50" s="65">
        <f t="shared" si="3"/>
        <v>0</v>
      </c>
      <c r="J50" s="66">
        <f t="shared" si="4"/>
        <v>97.679500000000019</v>
      </c>
      <c r="K50" s="61">
        <f t="shared" si="5"/>
        <v>200</v>
      </c>
      <c r="L50" s="67">
        <f t="shared" si="6"/>
        <v>0.78327499999999994</v>
      </c>
      <c r="M50" s="62">
        <f t="shared" si="8"/>
        <v>516.96149999999989</v>
      </c>
      <c r="N50" s="62">
        <f t="shared" si="9"/>
        <v>1316.9615000000001</v>
      </c>
      <c r="O50" s="62">
        <f t="shared" si="10"/>
        <v>0</v>
      </c>
      <c r="P50" s="62">
        <f t="shared" si="11"/>
        <v>10833.038500000001</v>
      </c>
    </row>
    <row r="51" spans="2:16" ht="15" customHeight="1" x14ac:dyDescent="0.35">
      <c r="B51" s="68">
        <v>46</v>
      </c>
      <c r="C51" s="69">
        <f>'Rainfall Data'!J77</f>
        <v>46068</v>
      </c>
      <c r="D51" s="70">
        <f>'Rainfall Data'!P77</f>
        <v>0</v>
      </c>
      <c r="E51" s="71">
        <f t="shared" si="0"/>
        <v>0</v>
      </c>
      <c r="F51" s="72">
        <f t="shared" si="7"/>
        <v>200</v>
      </c>
      <c r="G51" s="73">
        <f t="shared" si="1"/>
        <v>270</v>
      </c>
      <c r="H51" s="74">
        <f t="shared" si="2"/>
        <v>0</v>
      </c>
      <c r="I51" s="75">
        <f t="shared" si="3"/>
        <v>0</v>
      </c>
      <c r="J51" s="76">
        <f t="shared" si="4"/>
        <v>270</v>
      </c>
      <c r="K51" s="71">
        <f t="shared" si="5"/>
        <v>200</v>
      </c>
      <c r="L51" s="77">
        <f t="shared" si="6"/>
        <v>0</v>
      </c>
      <c r="M51" s="72">
        <f t="shared" si="8"/>
        <v>516.96149999999989</v>
      </c>
      <c r="N51" s="72">
        <f t="shared" si="9"/>
        <v>1316.9615000000001</v>
      </c>
      <c r="O51" s="72">
        <f t="shared" si="10"/>
        <v>0</v>
      </c>
      <c r="P51" s="72">
        <f t="shared" si="11"/>
        <v>11103.038500000001</v>
      </c>
    </row>
    <row r="52" spans="2:16" ht="15" customHeight="1" x14ac:dyDescent="0.35">
      <c r="B52" s="52">
        <v>47</v>
      </c>
      <c r="C52" s="59">
        <f>'Rainfall Data'!J78</f>
        <v>46069</v>
      </c>
      <c r="D52" s="60">
        <f>'Rainfall Data'!P78</f>
        <v>0</v>
      </c>
      <c r="E52" s="61">
        <f t="shared" si="0"/>
        <v>0</v>
      </c>
      <c r="F52" s="62">
        <f t="shared" si="7"/>
        <v>200</v>
      </c>
      <c r="G52" s="63">
        <f t="shared" si="1"/>
        <v>270</v>
      </c>
      <c r="H52" s="64">
        <f t="shared" si="2"/>
        <v>0</v>
      </c>
      <c r="I52" s="65">
        <f t="shared" si="3"/>
        <v>0</v>
      </c>
      <c r="J52" s="66">
        <f t="shared" si="4"/>
        <v>270</v>
      </c>
      <c r="K52" s="61">
        <f t="shared" si="5"/>
        <v>200</v>
      </c>
      <c r="L52" s="67">
        <f t="shared" si="6"/>
        <v>0</v>
      </c>
      <c r="M52" s="62">
        <f t="shared" si="8"/>
        <v>516.96149999999989</v>
      </c>
      <c r="N52" s="62">
        <f t="shared" si="9"/>
        <v>1316.9615000000001</v>
      </c>
      <c r="O52" s="62">
        <f t="shared" si="10"/>
        <v>0</v>
      </c>
      <c r="P52" s="62">
        <f t="shared" si="11"/>
        <v>11373.038500000001</v>
      </c>
    </row>
    <row r="53" spans="2:16" ht="15" customHeight="1" x14ac:dyDescent="0.35">
      <c r="B53" s="68">
        <v>48</v>
      </c>
      <c r="C53" s="69">
        <f>'Rainfall Data'!J79</f>
        <v>46070</v>
      </c>
      <c r="D53" s="70">
        <f>'Rainfall Data'!P79</f>
        <v>0</v>
      </c>
      <c r="E53" s="71">
        <f t="shared" si="0"/>
        <v>0</v>
      </c>
      <c r="F53" s="72">
        <f t="shared" si="7"/>
        <v>200</v>
      </c>
      <c r="G53" s="73">
        <f t="shared" si="1"/>
        <v>270</v>
      </c>
      <c r="H53" s="74">
        <f t="shared" si="2"/>
        <v>0</v>
      </c>
      <c r="I53" s="75">
        <f t="shared" si="3"/>
        <v>0</v>
      </c>
      <c r="J53" s="76">
        <f t="shared" si="4"/>
        <v>270</v>
      </c>
      <c r="K53" s="71">
        <f t="shared" si="5"/>
        <v>200</v>
      </c>
      <c r="L53" s="77">
        <f t="shared" si="6"/>
        <v>0</v>
      </c>
      <c r="M53" s="72">
        <f t="shared" si="8"/>
        <v>516.96149999999989</v>
      </c>
      <c r="N53" s="72">
        <f t="shared" si="9"/>
        <v>1316.9615000000001</v>
      </c>
      <c r="O53" s="72">
        <f t="shared" si="10"/>
        <v>0</v>
      </c>
      <c r="P53" s="72">
        <f t="shared" si="11"/>
        <v>11643.038500000001</v>
      </c>
    </row>
    <row r="54" spans="2:16" ht="15" customHeight="1" x14ac:dyDescent="0.35">
      <c r="B54" s="52">
        <v>49</v>
      </c>
      <c r="C54" s="59">
        <f>'Rainfall Data'!J80</f>
        <v>46071</v>
      </c>
      <c r="D54" s="60">
        <f>'Rainfall Data'!P80</f>
        <v>0</v>
      </c>
      <c r="E54" s="61">
        <f t="shared" si="0"/>
        <v>0</v>
      </c>
      <c r="F54" s="62">
        <f t="shared" si="7"/>
        <v>200</v>
      </c>
      <c r="G54" s="63">
        <f t="shared" si="1"/>
        <v>270</v>
      </c>
      <c r="H54" s="64">
        <f t="shared" si="2"/>
        <v>0</v>
      </c>
      <c r="I54" s="65">
        <f t="shared" si="3"/>
        <v>0</v>
      </c>
      <c r="J54" s="66">
        <f t="shared" si="4"/>
        <v>270</v>
      </c>
      <c r="K54" s="61">
        <f t="shared" si="5"/>
        <v>200</v>
      </c>
      <c r="L54" s="67">
        <f t="shared" si="6"/>
        <v>0</v>
      </c>
      <c r="M54" s="62">
        <f t="shared" si="8"/>
        <v>516.96149999999989</v>
      </c>
      <c r="N54" s="62">
        <f t="shared" si="9"/>
        <v>1316.9615000000001</v>
      </c>
      <c r="O54" s="62">
        <f t="shared" si="10"/>
        <v>0</v>
      </c>
      <c r="P54" s="62">
        <f t="shared" si="11"/>
        <v>11913.038500000001</v>
      </c>
    </row>
    <row r="55" spans="2:16" ht="15" customHeight="1" x14ac:dyDescent="0.35">
      <c r="B55" s="68">
        <v>50</v>
      </c>
      <c r="C55" s="69">
        <f>'Rainfall Data'!J81</f>
        <v>46072</v>
      </c>
      <c r="D55" s="70">
        <f>'Rainfall Data'!P81</f>
        <v>0</v>
      </c>
      <c r="E55" s="71">
        <f t="shared" si="0"/>
        <v>0</v>
      </c>
      <c r="F55" s="72">
        <f t="shared" si="7"/>
        <v>200</v>
      </c>
      <c r="G55" s="73">
        <f t="shared" si="1"/>
        <v>270</v>
      </c>
      <c r="H55" s="74">
        <f t="shared" si="2"/>
        <v>0</v>
      </c>
      <c r="I55" s="75">
        <f t="shared" si="3"/>
        <v>0</v>
      </c>
      <c r="J55" s="76">
        <f t="shared" si="4"/>
        <v>270</v>
      </c>
      <c r="K55" s="71">
        <f t="shared" si="5"/>
        <v>200</v>
      </c>
      <c r="L55" s="77">
        <f t="shared" si="6"/>
        <v>0</v>
      </c>
      <c r="M55" s="72">
        <f t="shared" si="8"/>
        <v>516.96149999999989</v>
      </c>
      <c r="N55" s="72">
        <f t="shared" si="9"/>
        <v>1316.9615000000001</v>
      </c>
      <c r="O55" s="72">
        <f t="shared" si="10"/>
        <v>0</v>
      </c>
      <c r="P55" s="72">
        <f t="shared" si="11"/>
        <v>12183.038500000001</v>
      </c>
    </row>
    <row r="56" spans="2:16" ht="15" customHeight="1" x14ac:dyDescent="0.35">
      <c r="B56" s="52">
        <v>51</v>
      </c>
      <c r="C56" s="59">
        <f>'Rainfall Data'!J82</f>
        <v>46073</v>
      </c>
      <c r="D56" s="60">
        <f>'Rainfall Data'!P82</f>
        <v>0</v>
      </c>
      <c r="E56" s="61">
        <f t="shared" si="0"/>
        <v>0</v>
      </c>
      <c r="F56" s="62">
        <f t="shared" si="7"/>
        <v>200</v>
      </c>
      <c r="G56" s="63">
        <f t="shared" si="1"/>
        <v>270</v>
      </c>
      <c r="H56" s="64">
        <f t="shared" si="2"/>
        <v>0</v>
      </c>
      <c r="I56" s="65">
        <f t="shared" si="3"/>
        <v>0</v>
      </c>
      <c r="J56" s="66">
        <f t="shared" si="4"/>
        <v>270</v>
      </c>
      <c r="K56" s="61">
        <f t="shared" si="5"/>
        <v>200</v>
      </c>
      <c r="L56" s="67">
        <f t="shared" si="6"/>
        <v>0</v>
      </c>
      <c r="M56" s="62">
        <f t="shared" si="8"/>
        <v>516.96149999999989</v>
      </c>
      <c r="N56" s="62">
        <f t="shared" si="9"/>
        <v>1316.9615000000001</v>
      </c>
      <c r="O56" s="62">
        <f t="shared" si="10"/>
        <v>0</v>
      </c>
      <c r="P56" s="62">
        <f t="shared" si="11"/>
        <v>12453.038500000001</v>
      </c>
    </row>
    <row r="57" spans="2:16" ht="15" customHeight="1" x14ac:dyDescent="0.35">
      <c r="B57" s="68">
        <v>52</v>
      </c>
      <c r="C57" s="69">
        <f>'Rainfall Data'!J83</f>
        <v>46074</v>
      </c>
      <c r="D57" s="70">
        <f>'Rainfall Data'!P83</f>
        <v>0</v>
      </c>
      <c r="E57" s="71">
        <f t="shared" si="0"/>
        <v>0</v>
      </c>
      <c r="F57" s="72">
        <f t="shared" si="7"/>
        <v>200</v>
      </c>
      <c r="G57" s="73">
        <f t="shared" si="1"/>
        <v>270</v>
      </c>
      <c r="H57" s="74">
        <f t="shared" si="2"/>
        <v>0</v>
      </c>
      <c r="I57" s="75">
        <f t="shared" si="3"/>
        <v>0</v>
      </c>
      <c r="J57" s="76">
        <f t="shared" si="4"/>
        <v>270</v>
      </c>
      <c r="K57" s="71">
        <f t="shared" si="5"/>
        <v>200</v>
      </c>
      <c r="L57" s="77">
        <f t="shared" si="6"/>
        <v>0</v>
      </c>
      <c r="M57" s="72">
        <f t="shared" si="8"/>
        <v>516.96149999999989</v>
      </c>
      <c r="N57" s="72">
        <f t="shared" si="9"/>
        <v>1316.9615000000001</v>
      </c>
      <c r="O57" s="72">
        <f t="shared" si="10"/>
        <v>0</v>
      </c>
      <c r="P57" s="72">
        <f t="shared" si="11"/>
        <v>12723.038500000001</v>
      </c>
    </row>
    <row r="58" spans="2:16" ht="15" customHeight="1" x14ac:dyDescent="0.35">
      <c r="B58" s="52">
        <v>53</v>
      </c>
      <c r="C58" s="59">
        <f>'Rainfall Data'!J84</f>
        <v>46075</v>
      </c>
      <c r="D58" s="60">
        <f>'Rainfall Data'!P84</f>
        <v>0</v>
      </c>
      <c r="E58" s="61">
        <f t="shared" si="0"/>
        <v>0</v>
      </c>
      <c r="F58" s="62">
        <f t="shared" si="7"/>
        <v>200</v>
      </c>
      <c r="G58" s="63">
        <f t="shared" si="1"/>
        <v>270</v>
      </c>
      <c r="H58" s="64">
        <f t="shared" si="2"/>
        <v>0</v>
      </c>
      <c r="I58" s="65">
        <f t="shared" si="3"/>
        <v>0</v>
      </c>
      <c r="J58" s="66">
        <f t="shared" si="4"/>
        <v>270</v>
      </c>
      <c r="K58" s="61">
        <f t="shared" si="5"/>
        <v>200</v>
      </c>
      <c r="L58" s="67">
        <f t="shared" si="6"/>
        <v>0</v>
      </c>
      <c r="M58" s="62">
        <f t="shared" si="8"/>
        <v>516.96149999999989</v>
      </c>
      <c r="N58" s="62">
        <f t="shared" si="9"/>
        <v>1316.9615000000001</v>
      </c>
      <c r="O58" s="62">
        <f t="shared" si="10"/>
        <v>0</v>
      </c>
      <c r="P58" s="62">
        <f t="shared" si="11"/>
        <v>12993.038500000001</v>
      </c>
    </row>
    <row r="59" spans="2:16" ht="15" customHeight="1" x14ac:dyDescent="0.35">
      <c r="B59" s="68">
        <v>54</v>
      </c>
      <c r="C59" s="69">
        <f>'Rainfall Data'!J85</f>
        <v>46076</v>
      </c>
      <c r="D59" s="70">
        <f>'Rainfall Data'!P85</f>
        <v>0</v>
      </c>
      <c r="E59" s="71">
        <f t="shared" si="0"/>
        <v>0</v>
      </c>
      <c r="F59" s="72">
        <f t="shared" si="7"/>
        <v>200</v>
      </c>
      <c r="G59" s="73">
        <f t="shared" si="1"/>
        <v>270</v>
      </c>
      <c r="H59" s="74">
        <f t="shared" si="2"/>
        <v>0</v>
      </c>
      <c r="I59" s="75">
        <f t="shared" si="3"/>
        <v>0</v>
      </c>
      <c r="J59" s="76">
        <f t="shared" si="4"/>
        <v>270</v>
      </c>
      <c r="K59" s="71">
        <f t="shared" si="5"/>
        <v>200</v>
      </c>
      <c r="L59" s="77">
        <f t="shared" si="6"/>
        <v>0</v>
      </c>
      <c r="M59" s="72">
        <f t="shared" si="8"/>
        <v>516.96149999999989</v>
      </c>
      <c r="N59" s="72">
        <f t="shared" si="9"/>
        <v>1316.9615000000001</v>
      </c>
      <c r="O59" s="72">
        <f t="shared" si="10"/>
        <v>0</v>
      </c>
      <c r="P59" s="72">
        <f t="shared" si="11"/>
        <v>13263.038500000001</v>
      </c>
    </row>
    <row r="60" spans="2:16" ht="15" customHeight="1" x14ac:dyDescent="0.35">
      <c r="B60" s="52">
        <v>55</v>
      </c>
      <c r="C60" s="59">
        <f>'Rainfall Data'!J86</f>
        <v>46077</v>
      </c>
      <c r="D60" s="60">
        <f>'Rainfall Data'!P86</f>
        <v>0</v>
      </c>
      <c r="E60" s="61">
        <f t="shared" si="0"/>
        <v>0</v>
      </c>
      <c r="F60" s="62">
        <f t="shared" si="7"/>
        <v>200</v>
      </c>
      <c r="G60" s="63">
        <f t="shared" si="1"/>
        <v>270</v>
      </c>
      <c r="H60" s="64">
        <f t="shared" si="2"/>
        <v>0</v>
      </c>
      <c r="I60" s="65">
        <f t="shared" si="3"/>
        <v>0</v>
      </c>
      <c r="J60" s="66">
        <f t="shared" si="4"/>
        <v>270</v>
      </c>
      <c r="K60" s="61">
        <f t="shared" si="5"/>
        <v>200</v>
      </c>
      <c r="L60" s="67">
        <f t="shared" si="6"/>
        <v>0</v>
      </c>
      <c r="M60" s="62">
        <f t="shared" si="8"/>
        <v>516.96149999999989</v>
      </c>
      <c r="N60" s="62">
        <f t="shared" si="9"/>
        <v>1316.9615000000001</v>
      </c>
      <c r="O60" s="62">
        <f t="shared" si="10"/>
        <v>0</v>
      </c>
      <c r="P60" s="62">
        <f t="shared" si="11"/>
        <v>13533.038500000001</v>
      </c>
    </row>
    <row r="61" spans="2:16" ht="15" customHeight="1" x14ac:dyDescent="0.35">
      <c r="B61" s="68">
        <v>56</v>
      </c>
      <c r="C61" s="69">
        <f>'Rainfall Data'!J87</f>
        <v>46078</v>
      </c>
      <c r="D61" s="70">
        <f>'Rainfall Data'!P87</f>
        <v>0</v>
      </c>
      <c r="E61" s="71">
        <f t="shared" si="0"/>
        <v>0</v>
      </c>
      <c r="F61" s="72">
        <f t="shared" si="7"/>
        <v>200</v>
      </c>
      <c r="G61" s="73">
        <f t="shared" si="1"/>
        <v>270</v>
      </c>
      <c r="H61" s="74">
        <f t="shared" si="2"/>
        <v>0</v>
      </c>
      <c r="I61" s="75">
        <f t="shared" si="3"/>
        <v>0</v>
      </c>
      <c r="J61" s="76">
        <f t="shared" si="4"/>
        <v>270</v>
      </c>
      <c r="K61" s="71">
        <f t="shared" si="5"/>
        <v>200</v>
      </c>
      <c r="L61" s="77">
        <f t="shared" si="6"/>
        <v>0</v>
      </c>
      <c r="M61" s="72">
        <f t="shared" si="8"/>
        <v>516.96149999999989</v>
      </c>
      <c r="N61" s="72">
        <f t="shared" si="9"/>
        <v>1316.9615000000001</v>
      </c>
      <c r="O61" s="72">
        <f t="shared" si="10"/>
        <v>0</v>
      </c>
      <c r="P61" s="72">
        <f t="shared" si="11"/>
        <v>13803.038500000001</v>
      </c>
    </row>
    <row r="62" spans="2:16" ht="15" customHeight="1" x14ac:dyDescent="0.35">
      <c r="B62" s="52">
        <v>57</v>
      </c>
      <c r="C62" s="59">
        <f>'Rainfall Data'!J88</f>
        <v>46079</v>
      </c>
      <c r="D62" s="60">
        <f>'Rainfall Data'!P88</f>
        <v>0</v>
      </c>
      <c r="E62" s="61">
        <f t="shared" si="0"/>
        <v>0</v>
      </c>
      <c r="F62" s="62">
        <f t="shared" si="7"/>
        <v>200</v>
      </c>
      <c r="G62" s="63">
        <f t="shared" si="1"/>
        <v>270</v>
      </c>
      <c r="H62" s="64">
        <f t="shared" si="2"/>
        <v>0</v>
      </c>
      <c r="I62" s="65">
        <f t="shared" si="3"/>
        <v>0</v>
      </c>
      <c r="J62" s="66">
        <f t="shared" si="4"/>
        <v>270</v>
      </c>
      <c r="K62" s="61">
        <f t="shared" si="5"/>
        <v>200</v>
      </c>
      <c r="L62" s="67">
        <f t="shared" si="6"/>
        <v>0</v>
      </c>
      <c r="M62" s="62">
        <f t="shared" si="8"/>
        <v>516.96149999999989</v>
      </c>
      <c r="N62" s="62">
        <f t="shared" si="9"/>
        <v>1316.9615000000001</v>
      </c>
      <c r="O62" s="62">
        <f t="shared" si="10"/>
        <v>0</v>
      </c>
      <c r="P62" s="62">
        <f t="shared" si="11"/>
        <v>14073.038500000001</v>
      </c>
    </row>
    <row r="63" spans="2:16" ht="15" customHeight="1" x14ac:dyDescent="0.35">
      <c r="B63" s="68">
        <v>58</v>
      </c>
      <c r="C63" s="69">
        <f>'Rainfall Data'!J89</f>
        <v>46080</v>
      </c>
      <c r="D63" s="70">
        <f>'Rainfall Data'!P89</f>
        <v>0</v>
      </c>
      <c r="E63" s="71">
        <f t="shared" si="0"/>
        <v>0</v>
      </c>
      <c r="F63" s="72">
        <f t="shared" si="7"/>
        <v>200</v>
      </c>
      <c r="G63" s="73">
        <f t="shared" si="1"/>
        <v>270</v>
      </c>
      <c r="H63" s="74">
        <f t="shared" si="2"/>
        <v>0</v>
      </c>
      <c r="I63" s="75">
        <f t="shared" si="3"/>
        <v>0</v>
      </c>
      <c r="J63" s="76">
        <f t="shared" si="4"/>
        <v>270</v>
      </c>
      <c r="K63" s="71">
        <f t="shared" si="5"/>
        <v>200</v>
      </c>
      <c r="L63" s="77">
        <f t="shared" si="6"/>
        <v>0</v>
      </c>
      <c r="M63" s="72">
        <f t="shared" si="8"/>
        <v>516.96149999999989</v>
      </c>
      <c r="N63" s="72">
        <f t="shared" si="9"/>
        <v>1316.9615000000001</v>
      </c>
      <c r="O63" s="72">
        <f t="shared" si="10"/>
        <v>0</v>
      </c>
      <c r="P63" s="72">
        <f t="shared" si="11"/>
        <v>14343.038500000001</v>
      </c>
    </row>
    <row r="64" spans="2:16" ht="15" customHeight="1" x14ac:dyDescent="0.35">
      <c r="B64" s="52">
        <v>59</v>
      </c>
      <c r="C64" s="59">
        <f>'Rainfall Data'!J90</f>
        <v>46081</v>
      </c>
      <c r="D64" s="60">
        <f>'Rainfall Data'!P90</f>
        <v>0</v>
      </c>
      <c r="E64" s="61">
        <f t="shared" si="0"/>
        <v>0</v>
      </c>
      <c r="F64" s="62">
        <f t="shared" si="7"/>
        <v>200</v>
      </c>
      <c r="G64" s="63">
        <f t="shared" si="1"/>
        <v>270</v>
      </c>
      <c r="H64" s="64">
        <f t="shared" si="2"/>
        <v>0</v>
      </c>
      <c r="I64" s="65">
        <f t="shared" si="3"/>
        <v>0</v>
      </c>
      <c r="J64" s="66">
        <f t="shared" si="4"/>
        <v>270</v>
      </c>
      <c r="K64" s="61">
        <f t="shared" si="5"/>
        <v>200</v>
      </c>
      <c r="L64" s="67">
        <f t="shared" si="6"/>
        <v>0</v>
      </c>
      <c r="M64" s="62">
        <f t="shared" si="8"/>
        <v>516.96149999999989</v>
      </c>
      <c r="N64" s="62">
        <f t="shared" si="9"/>
        <v>1316.9615000000001</v>
      </c>
      <c r="O64" s="62">
        <f t="shared" si="10"/>
        <v>0</v>
      </c>
      <c r="P64" s="62">
        <f t="shared" si="11"/>
        <v>14613.038500000001</v>
      </c>
    </row>
    <row r="65" spans="2:16" ht="15" customHeight="1" x14ac:dyDescent="0.35">
      <c r="B65" s="68">
        <v>60</v>
      </c>
      <c r="C65" s="69">
        <f>'Rainfall Data'!J91</f>
        <v>46082</v>
      </c>
      <c r="D65" s="70">
        <f>'Rainfall Data'!P91</f>
        <v>0</v>
      </c>
      <c r="E65" s="71">
        <f t="shared" si="0"/>
        <v>0</v>
      </c>
      <c r="F65" s="72">
        <f t="shared" si="7"/>
        <v>200</v>
      </c>
      <c r="G65" s="73">
        <f t="shared" si="1"/>
        <v>270</v>
      </c>
      <c r="H65" s="74">
        <f t="shared" si="2"/>
        <v>0</v>
      </c>
      <c r="I65" s="75">
        <f t="shared" si="3"/>
        <v>0</v>
      </c>
      <c r="J65" s="76">
        <f t="shared" si="4"/>
        <v>270</v>
      </c>
      <c r="K65" s="71">
        <f t="shared" si="5"/>
        <v>200</v>
      </c>
      <c r="L65" s="77">
        <f t="shared" si="6"/>
        <v>0</v>
      </c>
      <c r="M65" s="72">
        <f t="shared" si="8"/>
        <v>516.96149999999989</v>
      </c>
      <c r="N65" s="72">
        <f t="shared" si="9"/>
        <v>1316.9615000000001</v>
      </c>
      <c r="O65" s="72">
        <f t="shared" si="10"/>
        <v>0</v>
      </c>
      <c r="P65" s="72">
        <f t="shared" si="11"/>
        <v>14883.038500000001</v>
      </c>
    </row>
    <row r="66" spans="2:16" ht="15" customHeight="1" x14ac:dyDescent="0.35">
      <c r="B66" s="52">
        <v>61</v>
      </c>
      <c r="C66" s="59">
        <f>'Rainfall Data'!J92</f>
        <v>46083</v>
      </c>
      <c r="D66" s="60">
        <f>'Rainfall Data'!P92</f>
        <v>0</v>
      </c>
      <c r="E66" s="61">
        <f t="shared" si="0"/>
        <v>0</v>
      </c>
      <c r="F66" s="62">
        <f t="shared" si="7"/>
        <v>200</v>
      </c>
      <c r="G66" s="63">
        <f t="shared" si="1"/>
        <v>270</v>
      </c>
      <c r="H66" s="64">
        <f t="shared" si="2"/>
        <v>0</v>
      </c>
      <c r="I66" s="65">
        <f t="shared" si="3"/>
        <v>0</v>
      </c>
      <c r="J66" s="66">
        <f t="shared" si="4"/>
        <v>270</v>
      </c>
      <c r="K66" s="61">
        <f t="shared" si="5"/>
        <v>200</v>
      </c>
      <c r="L66" s="67">
        <f t="shared" si="6"/>
        <v>0</v>
      </c>
      <c r="M66" s="62">
        <f t="shared" si="8"/>
        <v>516.96149999999989</v>
      </c>
      <c r="N66" s="62">
        <f t="shared" si="9"/>
        <v>1316.9615000000001</v>
      </c>
      <c r="O66" s="62">
        <f t="shared" si="10"/>
        <v>0</v>
      </c>
      <c r="P66" s="62">
        <f t="shared" si="11"/>
        <v>15153.038500000001</v>
      </c>
    </row>
    <row r="67" spans="2:16" ht="15" customHeight="1" x14ac:dyDescent="0.35">
      <c r="B67" s="68">
        <v>62</v>
      </c>
      <c r="C67" s="69">
        <f>'Rainfall Data'!J93</f>
        <v>46084</v>
      </c>
      <c r="D67" s="70">
        <f>'Rainfall Data'!P93</f>
        <v>0</v>
      </c>
      <c r="E67" s="71">
        <f t="shared" si="0"/>
        <v>0</v>
      </c>
      <c r="F67" s="72">
        <f t="shared" si="7"/>
        <v>200</v>
      </c>
      <c r="G67" s="73">
        <f t="shared" si="1"/>
        <v>270</v>
      </c>
      <c r="H67" s="74">
        <f t="shared" si="2"/>
        <v>0</v>
      </c>
      <c r="I67" s="75">
        <f t="shared" si="3"/>
        <v>0</v>
      </c>
      <c r="J67" s="76">
        <f t="shared" si="4"/>
        <v>270</v>
      </c>
      <c r="K67" s="71">
        <f t="shared" si="5"/>
        <v>200</v>
      </c>
      <c r="L67" s="77">
        <f t="shared" si="6"/>
        <v>0</v>
      </c>
      <c r="M67" s="72">
        <f t="shared" si="8"/>
        <v>516.96149999999989</v>
      </c>
      <c r="N67" s="72">
        <f t="shared" si="9"/>
        <v>1316.9615000000001</v>
      </c>
      <c r="O67" s="72">
        <f t="shared" si="10"/>
        <v>0</v>
      </c>
      <c r="P67" s="72">
        <f t="shared" si="11"/>
        <v>15423.038500000001</v>
      </c>
    </row>
    <row r="68" spans="2:16" ht="15" customHeight="1" x14ac:dyDescent="0.35">
      <c r="B68" s="52">
        <v>63</v>
      </c>
      <c r="C68" s="59">
        <f>'Rainfall Data'!J94</f>
        <v>46085</v>
      </c>
      <c r="D68" s="60">
        <f>'Rainfall Data'!P94</f>
        <v>0</v>
      </c>
      <c r="E68" s="61">
        <f t="shared" si="0"/>
        <v>0</v>
      </c>
      <c r="F68" s="62">
        <f t="shared" si="7"/>
        <v>200</v>
      </c>
      <c r="G68" s="63">
        <f t="shared" si="1"/>
        <v>270</v>
      </c>
      <c r="H68" s="64">
        <f t="shared" si="2"/>
        <v>0</v>
      </c>
      <c r="I68" s="65">
        <f t="shared" si="3"/>
        <v>0</v>
      </c>
      <c r="J68" s="66">
        <f t="shared" si="4"/>
        <v>270</v>
      </c>
      <c r="K68" s="61">
        <f t="shared" si="5"/>
        <v>200</v>
      </c>
      <c r="L68" s="67">
        <f t="shared" si="6"/>
        <v>0</v>
      </c>
      <c r="M68" s="62">
        <f t="shared" si="8"/>
        <v>516.96149999999989</v>
      </c>
      <c r="N68" s="62">
        <f t="shared" si="9"/>
        <v>1316.9615000000001</v>
      </c>
      <c r="O68" s="62">
        <f t="shared" si="10"/>
        <v>0</v>
      </c>
      <c r="P68" s="62">
        <f t="shared" si="11"/>
        <v>15693.038500000001</v>
      </c>
    </row>
    <row r="69" spans="2:16" ht="15" customHeight="1" x14ac:dyDescent="0.35">
      <c r="B69" s="68">
        <v>64</v>
      </c>
      <c r="C69" s="69">
        <f>'Rainfall Data'!J95</f>
        <v>46086</v>
      </c>
      <c r="D69" s="70">
        <f>'Rainfall Data'!P95</f>
        <v>0</v>
      </c>
      <c r="E69" s="71">
        <f t="shared" si="0"/>
        <v>0</v>
      </c>
      <c r="F69" s="72">
        <f t="shared" si="7"/>
        <v>200</v>
      </c>
      <c r="G69" s="73">
        <f t="shared" si="1"/>
        <v>270</v>
      </c>
      <c r="H69" s="74">
        <f t="shared" si="2"/>
        <v>0</v>
      </c>
      <c r="I69" s="75">
        <f t="shared" si="3"/>
        <v>0</v>
      </c>
      <c r="J69" s="76">
        <f t="shared" si="4"/>
        <v>270</v>
      </c>
      <c r="K69" s="71">
        <f t="shared" si="5"/>
        <v>200</v>
      </c>
      <c r="L69" s="77">
        <f t="shared" si="6"/>
        <v>0</v>
      </c>
      <c r="M69" s="72">
        <f t="shared" si="8"/>
        <v>516.96149999999989</v>
      </c>
      <c r="N69" s="72">
        <f t="shared" si="9"/>
        <v>1316.9615000000001</v>
      </c>
      <c r="O69" s="72">
        <f t="shared" si="10"/>
        <v>0</v>
      </c>
      <c r="P69" s="72">
        <f t="shared" si="11"/>
        <v>15963.038500000001</v>
      </c>
    </row>
    <row r="70" spans="2:16" ht="15" customHeight="1" x14ac:dyDescent="0.35">
      <c r="B70" s="52">
        <v>65</v>
      </c>
      <c r="C70" s="59">
        <f>'Rainfall Data'!J96</f>
        <v>46087</v>
      </c>
      <c r="D70" s="60">
        <f>'Rainfall Data'!P96</f>
        <v>0</v>
      </c>
      <c r="E70" s="61">
        <f t="shared" ref="E70:E133" si="12">MAX(D70-FirstFlush_mm,0)*RoofArea_m2*CollectionEff</f>
        <v>0</v>
      </c>
      <c r="F70" s="62">
        <f t="shared" si="7"/>
        <v>200</v>
      </c>
      <c r="G70" s="63">
        <f t="shared" ref="G70:G133" si="13">DailyDemand_L</f>
        <v>270</v>
      </c>
      <c r="H70" s="64">
        <f t="shared" ref="H70:H133" si="14">MIN(G70,MAX(F70+E70-DeadStorage_L,0))</f>
        <v>0</v>
      </c>
      <c r="I70" s="65">
        <f t="shared" ref="I70:I133" si="15">MAX(F70+E70-H70-TankCapacity_L,0)</f>
        <v>0</v>
      </c>
      <c r="J70" s="66">
        <f t="shared" ref="J70:J133" si="16">G70-H70</f>
        <v>270</v>
      </c>
      <c r="K70" s="61">
        <f t="shared" ref="K70:K133" si="17">MIN(F70+E70-H70-I70,TankCapacity_L)</f>
        <v>200</v>
      </c>
      <c r="L70" s="67">
        <f t="shared" ref="L70:L133" si="18">IF(D70&gt;0,CollectionEff,0)</f>
        <v>0</v>
      </c>
      <c r="M70" s="62">
        <f t="shared" si="8"/>
        <v>516.96149999999989</v>
      </c>
      <c r="N70" s="62">
        <f t="shared" si="9"/>
        <v>1316.9615000000001</v>
      </c>
      <c r="O70" s="62">
        <f t="shared" si="10"/>
        <v>0</v>
      </c>
      <c r="P70" s="62">
        <f t="shared" si="11"/>
        <v>16233.038500000001</v>
      </c>
    </row>
    <row r="71" spans="2:16" ht="15" customHeight="1" x14ac:dyDescent="0.35">
      <c r="B71" s="68">
        <v>66</v>
      </c>
      <c r="C71" s="69">
        <f>'Rainfall Data'!J97</f>
        <v>46088</v>
      </c>
      <c r="D71" s="70">
        <f>'Rainfall Data'!P97</f>
        <v>0</v>
      </c>
      <c r="E71" s="71">
        <f t="shared" si="12"/>
        <v>0</v>
      </c>
      <c r="F71" s="72">
        <f t="shared" ref="F71:F134" si="19">K70</f>
        <v>200</v>
      </c>
      <c r="G71" s="73">
        <f t="shared" si="13"/>
        <v>270</v>
      </c>
      <c r="H71" s="74">
        <f t="shared" si="14"/>
        <v>0</v>
      </c>
      <c r="I71" s="75">
        <f t="shared" si="15"/>
        <v>0</v>
      </c>
      <c r="J71" s="76">
        <f t="shared" si="16"/>
        <v>270</v>
      </c>
      <c r="K71" s="71">
        <f t="shared" si="17"/>
        <v>200</v>
      </c>
      <c r="L71" s="77">
        <f t="shared" si="18"/>
        <v>0</v>
      </c>
      <c r="M71" s="72">
        <f t="shared" ref="M71:M134" si="20">M70+E71</f>
        <v>516.96149999999989</v>
      </c>
      <c r="N71" s="72">
        <f t="shared" ref="N71:N134" si="21">N70+H71</f>
        <v>1316.9615000000001</v>
      </c>
      <c r="O71" s="72">
        <f t="shared" ref="O71:O134" si="22">O70+I71</f>
        <v>0</v>
      </c>
      <c r="P71" s="72">
        <f t="shared" ref="P71:P134" si="23">P70+J71</f>
        <v>16503.038500000002</v>
      </c>
    </row>
    <row r="72" spans="2:16" ht="15" customHeight="1" x14ac:dyDescent="0.35">
      <c r="B72" s="52">
        <v>67</v>
      </c>
      <c r="C72" s="59">
        <f>'Rainfall Data'!J98</f>
        <v>46089</v>
      </c>
      <c r="D72" s="60">
        <f>'Rainfall Data'!P98</f>
        <v>0</v>
      </c>
      <c r="E72" s="61">
        <f t="shared" si="12"/>
        <v>0</v>
      </c>
      <c r="F72" s="62">
        <f t="shared" si="19"/>
        <v>200</v>
      </c>
      <c r="G72" s="63">
        <f t="shared" si="13"/>
        <v>270</v>
      </c>
      <c r="H72" s="64">
        <f t="shared" si="14"/>
        <v>0</v>
      </c>
      <c r="I72" s="65">
        <f t="shared" si="15"/>
        <v>0</v>
      </c>
      <c r="J72" s="66">
        <f t="shared" si="16"/>
        <v>270</v>
      </c>
      <c r="K72" s="61">
        <f t="shared" si="17"/>
        <v>200</v>
      </c>
      <c r="L72" s="67">
        <f t="shared" si="18"/>
        <v>0</v>
      </c>
      <c r="M72" s="62">
        <f t="shared" si="20"/>
        <v>516.96149999999989</v>
      </c>
      <c r="N72" s="62">
        <f t="shared" si="21"/>
        <v>1316.9615000000001</v>
      </c>
      <c r="O72" s="62">
        <f t="shared" si="22"/>
        <v>0</v>
      </c>
      <c r="P72" s="62">
        <f t="shared" si="23"/>
        <v>16773.038500000002</v>
      </c>
    </row>
    <row r="73" spans="2:16" ht="15" customHeight="1" x14ac:dyDescent="0.35">
      <c r="B73" s="68">
        <v>68</v>
      </c>
      <c r="C73" s="69">
        <f>'Rainfall Data'!J99</f>
        <v>46090</v>
      </c>
      <c r="D73" s="70">
        <f>'Rainfall Data'!P99</f>
        <v>0</v>
      </c>
      <c r="E73" s="71">
        <f t="shared" si="12"/>
        <v>0</v>
      </c>
      <c r="F73" s="72">
        <f t="shared" si="19"/>
        <v>200</v>
      </c>
      <c r="G73" s="73">
        <f t="shared" si="13"/>
        <v>270</v>
      </c>
      <c r="H73" s="74">
        <f t="shared" si="14"/>
        <v>0</v>
      </c>
      <c r="I73" s="75">
        <f t="shared" si="15"/>
        <v>0</v>
      </c>
      <c r="J73" s="76">
        <f t="shared" si="16"/>
        <v>270</v>
      </c>
      <c r="K73" s="71">
        <f t="shared" si="17"/>
        <v>200</v>
      </c>
      <c r="L73" s="77">
        <f t="shared" si="18"/>
        <v>0</v>
      </c>
      <c r="M73" s="72">
        <f t="shared" si="20"/>
        <v>516.96149999999989</v>
      </c>
      <c r="N73" s="72">
        <f t="shared" si="21"/>
        <v>1316.9615000000001</v>
      </c>
      <c r="O73" s="72">
        <f t="shared" si="22"/>
        <v>0</v>
      </c>
      <c r="P73" s="72">
        <f t="shared" si="23"/>
        <v>17043.038500000002</v>
      </c>
    </row>
    <row r="74" spans="2:16" ht="15" customHeight="1" x14ac:dyDescent="0.35">
      <c r="B74" s="52">
        <v>69</v>
      </c>
      <c r="C74" s="59">
        <f>'Rainfall Data'!J100</f>
        <v>46091</v>
      </c>
      <c r="D74" s="60">
        <f>'Rainfall Data'!P100</f>
        <v>1</v>
      </c>
      <c r="E74" s="61">
        <f t="shared" si="12"/>
        <v>0</v>
      </c>
      <c r="F74" s="62">
        <f t="shared" si="19"/>
        <v>200</v>
      </c>
      <c r="G74" s="63">
        <f t="shared" si="13"/>
        <v>270</v>
      </c>
      <c r="H74" s="64">
        <f t="shared" si="14"/>
        <v>0</v>
      </c>
      <c r="I74" s="65">
        <f t="shared" si="15"/>
        <v>0</v>
      </c>
      <c r="J74" s="66">
        <f t="shared" si="16"/>
        <v>270</v>
      </c>
      <c r="K74" s="61">
        <f t="shared" si="17"/>
        <v>200</v>
      </c>
      <c r="L74" s="67">
        <f t="shared" si="18"/>
        <v>0.78327499999999994</v>
      </c>
      <c r="M74" s="62">
        <f t="shared" si="20"/>
        <v>516.96149999999989</v>
      </c>
      <c r="N74" s="62">
        <f t="shared" si="21"/>
        <v>1316.9615000000001</v>
      </c>
      <c r="O74" s="62">
        <f t="shared" si="22"/>
        <v>0</v>
      </c>
      <c r="P74" s="62">
        <f t="shared" si="23"/>
        <v>17313.038500000002</v>
      </c>
    </row>
    <row r="75" spans="2:16" ht="15" customHeight="1" x14ac:dyDescent="0.35">
      <c r="B75" s="68">
        <v>70</v>
      </c>
      <c r="C75" s="69">
        <f>'Rainfall Data'!J101</f>
        <v>46092</v>
      </c>
      <c r="D75" s="70">
        <f>'Rainfall Data'!P101</f>
        <v>0</v>
      </c>
      <c r="E75" s="71">
        <f t="shared" si="12"/>
        <v>0</v>
      </c>
      <c r="F75" s="72">
        <f t="shared" si="19"/>
        <v>200</v>
      </c>
      <c r="G75" s="73">
        <f t="shared" si="13"/>
        <v>270</v>
      </c>
      <c r="H75" s="74">
        <f t="shared" si="14"/>
        <v>0</v>
      </c>
      <c r="I75" s="75">
        <f t="shared" si="15"/>
        <v>0</v>
      </c>
      <c r="J75" s="76">
        <f t="shared" si="16"/>
        <v>270</v>
      </c>
      <c r="K75" s="71">
        <f t="shared" si="17"/>
        <v>200</v>
      </c>
      <c r="L75" s="77">
        <f t="shared" si="18"/>
        <v>0</v>
      </c>
      <c r="M75" s="72">
        <f t="shared" si="20"/>
        <v>516.96149999999989</v>
      </c>
      <c r="N75" s="72">
        <f t="shared" si="21"/>
        <v>1316.9615000000001</v>
      </c>
      <c r="O75" s="72">
        <f t="shared" si="22"/>
        <v>0</v>
      </c>
      <c r="P75" s="72">
        <f t="shared" si="23"/>
        <v>17583.038500000002</v>
      </c>
    </row>
    <row r="76" spans="2:16" ht="15" customHeight="1" x14ac:dyDescent="0.35">
      <c r="B76" s="52">
        <v>71</v>
      </c>
      <c r="C76" s="59">
        <f>'Rainfall Data'!J102</f>
        <v>46093</v>
      </c>
      <c r="D76" s="60">
        <f>'Rainfall Data'!P102</f>
        <v>0</v>
      </c>
      <c r="E76" s="61">
        <f t="shared" si="12"/>
        <v>0</v>
      </c>
      <c r="F76" s="62">
        <f t="shared" si="19"/>
        <v>200</v>
      </c>
      <c r="G76" s="63">
        <f t="shared" si="13"/>
        <v>270</v>
      </c>
      <c r="H76" s="64">
        <f t="shared" si="14"/>
        <v>0</v>
      </c>
      <c r="I76" s="65">
        <f t="shared" si="15"/>
        <v>0</v>
      </c>
      <c r="J76" s="66">
        <f t="shared" si="16"/>
        <v>270</v>
      </c>
      <c r="K76" s="61">
        <f t="shared" si="17"/>
        <v>200</v>
      </c>
      <c r="L76" s="67">
        <f t="shared" si="18"/>
        <v>0</v>
      </c>
      <c r="M76" s="62">
        <f t="shared" si="20"/>
        <v>516.96149999999989</v>
      </c>
      <c r="N76" s="62">
        <f t="shared" si="21"/>
        <v>1316.9615000000001</v>
      </c>
      <c r="O76" s="62">
        <f t="shared" si="22"/>
        <v>0</v>
      </c>
      <c r="P76" s="62">
        <f t="shared" si="23"/>
        <v>17853.038500000002</v>
      </c>
    </row>
    <row r="77" spans="2:16" ht="15" customHeight="1" x14ac:dyDescent="0.35">
      <c r="B77" s="68">
        <v>72</v>
      </c>
      <c r="C77" s="69">
        <f>'Rainfall Data'!J103</f>
        <v>46094</v>
      </c>
      <c r="D77" s="70">
        <f>'Rainfall Data'!P103</f>
        <v>0</v>
      </c>
      <c r="E77" s="71">
        <f t="shared" si="12"/>
        <v>0</v>
      </c>
      <c r="F77" s="72">
        <f t="shared" si="19"/>
        <v>200</v>
      </c>
      <c r="G77" s="73">
        <f t="shared" si="13"/>
        <v>270</v>
      </c>
      <c r="H77" s="74">
        <f t="shared" si="14"/>
        <v>0</v>
      </c>
      <c r="I77" s="75">
        <f t="shared" si="15"/>
        <v>0</v>
      </c>
      <c r="J77" s="76">
        <f t="shared" si="16"/>
        <v>270</v>
      </c>
      <c r="K77" s="71">
        <f t="shared" si="17"/>
        <v>200</v>
      </c>
      <c r="L77" s="77">
        <f t="shared" si="18"/>
        <v>0</v>
      </c>
      <c r="M77" s="72">
        <f t="shared" si="20"/>
        <v>516.96149999999989</v>
      </c>
      <c r="N77" s="72">
        <f t="shared" si="21"/>
        <v>1316.9615000000001</v>
      </c>
      <c r="O77" s="72">
        <f t="shared" si="22"/>
        <v>0</v>
      </c>
      <c r="P77" s="72">
        <f t="shared" si="23"/>
        <v>18123.038500000002</v>
      </c>
    </row>
    <row r="78" spans="2:16" ht="15" customHeight="1" x14ac:dyDescent="0.35">
      <c r="B78" s="52">
        <v>73</v>
      </c>
      <c r="C78" s="59">
        <f>'Rainfall Data'!J104</f>
        <v>46095</v>
      </c>
      <c r="D78" s="60">
        <f>'Rainfall Data'!P104</f>
        <v>0</v>
      </c>
      <c r="E78" s="61">
        <f t="shared" si="12"/>
        <v>0</v>
      </c>
      <c r="F78" s="62">
        <f t="shared" si="19"/>
        <v>200</v>
      </c>
      <c r="G78" s="63">
        <f t="shared" si="13"/>
        <v>270</v>
      </c>
      <c r="H78" s="64">
        <f t="shared" si="14"/>
        <v>0</v>
      </c>
      <c r="I78" s="65">
        <f t="shared" si="15"/>
        <v>0</v>
      </c>
      <c r="J78" s="66">
        <f t="shared" si="16"/>
        <v>270</v>
      </c>
      <c r="K78" s="61">
        <f t="shared" si="17"/>
        <v>200</v>
      </c>
      <c r="L78" s="67">
        <f t="shared" si="18"/>
        <v>0</v>
      </c>
      <c r="M78" s="62">
        <f t="shared" si="20"/>
        <v>516.96149999999989</v>
      </c>
      <c r="N78" s="62">
        <f t="shared" si="21"/>
        <v>1316.9615000000001</v>
      </c>
      <c r="O78" s="62">
        <f t="shared" si="22"/>
        <v>0</v>
      </c>
      <c r="P78" s="62">
        <f t="shared" si="23"/>
        <v>18393.038500000002</v>
      </c>
    </row>
    <row r="79" spans="2:16" ht="15" customHeight="1" x14ac:dyDescent="0.35">
      <c r="B79" s="68">
        <v>74</v>
      </c>
      <c r="C79" s="69">
        <f>'Rainfall Data'!J105</f>
        <v>46096</v>
      </c>
      <c r="D79" s="70">
        <f>'Rainfall Data'!P105</f>
        <v>0</v>
      </c>
      <c r="E79" s="71">
        <f t="shared" si="12"/>
        <v>0</v>
      </c>
      <c r="F79" s="72">
        <f t="shared" si="19"/>
        <v>200</v>
      </c>
      <c r="G79" s="73">
        <f t="shared" si="13"/>
        <v>270</v>
      </c>
      <c r="H79" s="74">
        <f t="shared" si="14"/>
        <v>0</v>
      </c>
      <c r="I79" s="75">
        <f t="shared" si="15"/>
        <v>0</v>
      </c>
      <c r="J79" s="76">
        <f t="shared" si="16"/>
        <v>270</v>
      </c>
      <c r="K79" s="71">
        <f t="shared" si="17"/>
        <v>200</v>
      </c>
      <c r="L79" s="77">
        <f t="shared" si="18"/>
        <v>0</v>
      </c>
      <c r="M79" s="72">
        <f t="shared" si="20"/>
        <v>516.96149999999989</v>
      </c>
      <c r="N79" s="72">
        <f t="shared" si="21"/>
        <v>1316.9615000000001</v>
      </c>
      <c r="O79" s="72">
        <f t="shared" si="22"/>
        <v>0</v>
      </c>
      <c r="P79" s="72">
        <f t="shared" si="23"/>
        <v>18663.038500000002</v>
      </c>
    </row>
    <row r="80" spans="2:16" ht="15" customHeight="1" x14ac:dyDescent="0.35">
      <c r="B80" s="52">
        <v>75</v>
      </c>
      <c r="C80" s="59">
        <f>'Rainfall Data'!J106</f>
        <v>46097</v>
      </c>
      <c r="D80" s="60">
        <f>'Rainfall Data'!P106</f>
        <v>0</v>
      </c>
      <c r="E80" s="61">
        <f t="shared" si="12"/>
        <v>0</v>
      </c>
      <c r="F80" s="62">
        <f t="shared" si="19"/>
        <v>200</v>
      </c>
      <c r="G80" s="63">
        <f t="shared" si="13"/>
        <v>270</v>
      </c>
      <c r="H80" s="64">
        <f t="shared" si="14"/>
        <v>0</v>
      </c>
      <c r="I80" s="65">
        <f t="shared" si="15"/>
        <v>0</v>
      </c>
      <c r="J80" s="66">
        <f t="shared" si="16"/>
        <v>270</v>
      </c>
      <c r="K80" s="61">
        <f t="shared" si="17"/>
        <v>200</v>
      </c>
      <c r="L80" s="67">
        <f t="shared" si="18"/>
        <v>0</v>
      </c>
      <c r="M80" s="62">
        <f t="shared" si="20"/>
        <v>516.96149999999989</v>
      </c>
      <c r="N80" s="62">
        <f t="shared" si="21"/>
        <v>1316.9615000000001</v>
      </c>
      <c r="O80" s="62">
        <f t="shared" si="22"/>
        <v>0</v>
      </c>
      <c r="P80" s="62">
        <f t="shared" si="23"/>
        <v>18933.038500000002</v>
      </c>
    </row>
    <row r="81" spans="2:16" ht="15" customHeight="1" x14ac:dyDescent="0.35">
      <c r="B81" s="68">
        <v>76</v>
      </c>
      <c r="C81" s="69">
        <f>'Rainfall Data'!J107</f>
        <v>46098</v>
      </c>
      <c r="D81" s="70">
        <f>'Rainfall Data'!P107</f>
        <v>0</v>
      </c>
      <c r="E81" s="71">
        <f t="shared" si="12"/>
        <v>0</v>
      </c>
      <c r="F81" s="72">
        <f t="shared" si="19"/>
        <v>200</v>
      </c>
      <c r="G81" s="73">
        <f t="shared" si="13"/>
        <v>270</v>
      </c>
      <c r="H81" s="74">
        <f t="shared" si="14"/>
        <v>0</v>
      </c>
      <c r="I81" s="75">
        <f t="shared" si="15"/>
        <v>0</v>
      </c>
      <c r="J81" s="76">
        <f t="shared" si="16"/>
        <v>270</v>
      </c>
      <c r="K81" s="71">
        <f t="shared" si="17"/>
        <v>200</v>
      </c>
      <c r="L81" s="77">
        <f t="shared" si="18"/>
        <v>0</v>
      </c>
      <c r="M81" s="72">
        <f t="shared" si="20"/>
        <v>516.96149999999989</v>
      </c>
      <c r="N81" s="72">
        <f t="shared" si="21"/>
        <v>1316.9615000000001</v>
      </c>
      <c r="O81" s="72">
        <f t="shared" si="22"/>
        <v>0</v>
      </c>
      <c r="P81" s="72">
        <f t="shared" si="23"/>
        <v>19203.038500000002</v>
      </c>
    </row>
    <row r="82" spans="2:16" ht="15" customHeight="1" x14ac:dyDescent="0.35">
      <c r="B82" s="52">
        <v>77</v>
      </c>
      <c r="C82" s="59">
        <f>'Rainfall Data'!J108</f>
        <v>46099</v>
      </c>
      <c r="D82" s="60">
        <f>'Rainfall Data'!P108</f>
        <v>0</v>
      </c>
      <c r="E82" s="61">
        <f t="shared" si="12"/>
        <v>0</v>
      </c>
      <c r="F82" s="62">
        <f t="shared" si="19"/>
        <v>200</v>
      </c>
      <c r="G82" s="63">
        <f t="shared" si="13"/>
        <v>270</v>
      </c>
      <c r="H82" s="64">
        <f t="shared" si="14"/>
        <v>0</v>
      </c>
      <c r="I82" s="65">
        <f t="shared" si="15"/>
        <v>0</v>
      </c>
      <c r="J82" s="66">
        <f t="shared" si="16"/>
        <v>270</v>
      </c>
      <c r="K82" s="61">
        <f t="shared" si="17"/>
        <v>200</v>
      </c>
      <c r="L82" s="67">
        <f t="shared" si="18"/>
        <v>0</v>
      </c>
      <c r="M82" s="62">
        <f t="shared" si="20"/>
        <v>516.96149999999989</v>
      </c>
      <c r="N82" s="62">
        <f t="shared" si="21"/>
        <v>1316.9615000000001</v>
      </c>
      <c r="O82" s="62">
        <f t="shared" si="22"/>
        <v>0</v>
      </c>
      <c r="P82" s="62">
        <f t="shared" si="23"/>
        <v>19473.038500000002</v>
      </c>
    </row>
    <row r="83" spans="2:16" ht="15" customHeight="1" x14ac:dyDescent="0.35">
      <c r="B83" s="68">
        <v>78</v>
      </c>
      <c r="C83" s="69">
        <f>'Rainfall Data'!J109</f>
        <v>46100</v>
      </c>
      <c r="D83" s="70">
        <f>'Rainfall Data'!P109</f>
        <v>0</v>
      </c>
      <c r="E83" s="71">
        <f t="shared" si="12"/>
        <v>0</v>
      </c>
      <c r="F83" s="72">
        <f t="shared" si="19"/>
        <v>200</v>
      </c>
      <c r="G83" s="73">
        <f t="shared" si="13"/>
        <v>270</v>
      </c>
      <c r="H83" s="74">
        <f t="shared" si="14"/>
        <v>0</v>
      </c>
      <c r="I83" s="75">
        <f t="shared" si="15"/>
        <v>0</v>
      </c>
      <c r="J83" s="76">
        <f t="shared" si="16"/>
        <v>270</v>
      </c>
      <c r="K83" s="71">
        <f t="shared" si="17"/>
        <v>200</v>
      </c>
      <c r="L83" s="77">
        <f t="shared" si="18"/>
        <v>0</v>
      </c>
      <c r="M83" s="72">
        <f t="shared" si="20"/>
        <v>516.96149999999989</v>
      </c>
      <c r="N83" s="72">
        <f t="shared" si="21"/>
        <v>1316.9615000000001</v>
      </c>
      <c r="O83" s="72">
        <f t="shared" si="22"/>
        <v>0</v>
      </c>
      <c r="P83" s="72">
        <f t="shared" si="23"/>
        <v>19743.038500000002</v>
      </c>
    </row>
    <row r="84" spans="2:16" ht="15" customHeight="1" x14ac:dyDescent="0.35">
      <c r="B84" s="52">
        <v>79</v>
      </c>
      <c r="C84" s="59">
        <f>'Rainfall Data'!J110</f>
        <v>46101</v>
      </c>
      <c r="D84" s="60">
        <f>'Rainfall Data'!P110</f>
        <v>0</v>
      </c>
      <c r="E84" s="61">
        <f t="shared" si="12"/>
        <v>0</v>
      </c>
      <c r="F84" s="62">
        <f t="shared" si="19"/>
        <v>200</v>
      </c>
      <c r="G84" s="63">
        <f t="shared" si="13"/>
        <v>270</v>
      </c>
      <c r="H84" s="64">
        <f t="shared" si="14"/>
        <v>0</v>
      </c>
      <c r="I84" s="65">
        <f t="shared" si="15"/>
        <v>0</v>
      </c>
      <c r="J84" s="66">
        <f t="shared" si="16"/>
        <v>270</v>
      </c>
      <c r="K84" s="61">
        <f t="shared" si="17"/>
        <v>200</v>
      </c>
      <c r="L84" s="67">
        <f t="shared" si="18"/>
        <v>0</v>
      </c>
      <c r="M84" s="62">
        <f t="shared" si="20"/>
        <v>516.96149999999989</v>
      </c>
      <c r="N84" s="62">
        <f t="shared" si="21"/>
        <v>1316.9615000000001</v>
      </c>
      <c r="O84" s="62">
        <f t="shared" si="22"/>
        <v>0</v>
      </c>
      <c r="P84" s="62">
        <f t="shared" si="23"/>
        <v>20013.038500000002</v>
      </c>
    </row>
    <row r="85" spans="2:16" ht="15" customHeight="1" x14ac:dyDescent="0.35">
      <c r="B85" s="68">
        <v>80</v>
      </c>
      <c r="C85" s="69">
        <f>'Rainfall Data'!J111</f>
        <v>46102</v>
      </c>
      <c r="D85" s="70">
        <f>'Rainfall Data'!P111</f>
        <v>1</v>
      </c>
      <c r="E85" s="71">
        <f t="shared" si="12"/>
        <v>0</v>
      </c>
      <c r="F85" s="72">
        <f t="shared" si="19"/>
        <v>200</v>
      </c>
      <c r="G85" s="73">
        <f t="shared" si="13"/>
        <v>270</v>
      </c>
      <c r="H85" s="74">
        <f t="shared" si="14"/>
        <v>0</v>
      </c>
      <c r="I85" s="75">
        <f t="shared" si="15"/>
        <v>0</v>
      </c>
      <c r="J85" s="76">
        <f t="shared" si="16"/>
        <v>270</v>
      </c>
      <c r="K85" s="71">
        <f t="shared" si="17"/>
        <v>200</v>
      </c>
      <c r="L85" s="77">
        <f t="shared" si="18"/>
        <v>0.78327499999999994</v>
      </c>
      <c r="M85" s="72">
        <f t="shared" si="20"/>
        <v>516.96149999999989</v>
      </c>
      <c r="N85" s="72">
        <f t="shared" si="21"/>
        <v>1316.9615000000001</v>
      </c>
      <c r="O85" s="72">
        <f t="shared" si="22"/>
        <v>0</v>
      </c>
      <c r="P85" s="72">
        <f t="shared" si="23"/>
        <v>20283.038500000002</v>
      </c>
    </row>
    <row r="86" spans="2:16" ht="15" customHeight="1" x14ac:dyDescent="0.35">
      <c r="B86" s="52">
        <v>81</v>
      </c>
      <c r="C86" s="59">
        <f>'Rainfall Data'!J112</f>
        <v>46103</v>
      </c>
      <c r="D86" s="60">
        <f>'Rainfall Data'!P112</f>
        <v>0</v>
      </c>
      <c r="E86" s="61">
        <f t="shared" si="12"/>
        <v>0</v>
      </c>
      <c r="F86" s="62">
        <f t="shared" si="19"/>
        <v>200</v>
      </c>
      <c r="G86" s="63">
        <f t="shared" si="13"/>
        <v>270</v>
      </c>
      <c r="H86" s="64">
        <f t="shared" si="14"/>
        <v>0</v>
      </c>
      <c r="I86" s="65">
        <f t="shared" si="15"/>
        <v>0</v>
      </c>
      <c r="J86" s="66">
        <f t="shared" si="16"/>
        <v>270</v>
      </c>
      <c r="K86" s="61">
        <f t="shared" si="17"/>
        <v>200</v>
      </c>
      <c r="L86" s="67">
        <f t="shared" si="18"/>
        <v>0</v>
      </c>
      <c r="M86" s="62">
        <f t="shared" si="20"/>
        <v>516.96149999999989</v>
      </c>
      <c r="N86" s="62">
        <f t="shared" si="21"/>
        <v>1316.9615000000001</v>
      </c>
      <c r="O86" s="62">
        <f t="shared" si="22"/>
        <v>0</v>
      </c>
      <c r="P86" s="62">
        <f t="shared" si="23"/>
        <v>20553.038500000002</v>
      </c>
    </row>
    <row r="87" spans="2:16" ht="15" customHeight="1" x14ac:dyDescent="0.35">
      <c r="B87" s="68">
        <v>82</v>
      </c>
      <c r="C87" s="69">
        <f>'Rainfall Data'!J113</f>
        <v>46104</v>
      </c>
      <c r="D87" s="70">
        <f>'Rainfall Data'!P113</f>
        <v>0</v>
      </c>
      <c r="E87" s="71">
        <f t="shared" si="12"/>
        <v>0</v>
      </c>
      <c r="F87" s="72">
        <f t="shared" si="19"/>
        <v>200</v>
      </c>
      <c r="G87" s="73">
        <f t="shared" si="13"/>
        <v>270</v>
      </c>
      <c r="H87" s="74">
        <f t="shared" si="14"/>
        <v>0</v>
      </c>
      <c r="I87" s="75">
        <f t="shared" si="15"/>
        <v>0</v>
      </c>
      <c r="J87" s="76">
        <f t="shared" si="16"/>
        <v>270</v>
      </c>
      <c r="K87" s="71">
        <f t="shared" si="17"/>
        <v>200</v>
      </c>
      <c r="L87" s="77">
        <f t="shared" si="18"/>
        <v>0</v>
      </c>
      <c r="M87" s="72">
        <f t="shared" si="20"/>
        <v>516.96149999999989</v>
      </c>
      <c r="N87" s="72">
        <f t="shared" si="21"/>
        <v>1316.9615000000001</v>
      </c>
      <c r="O87" s="72">
        <f t="shared" si="22"/>
        <v>0</v>
      </c>
      <c r="P87" s="72">
        <f t="shared" si="23"/>
        <v>20823.038500000002</v>
      </c>
    </row>
    <row r="88" spans="2:16" ht="15" customHeight="1" x14ac:dyDescent="0.35">
      <c r="B88" s="52">
        <v>83</v>
      </c>
      <c r="C88" s="59">
        <f>'Rainfall Data'!J114</f>
        <v>46105</v>
      </c>
      <c r="D88" s="60">
        <f>'Rainfall Data'!P114</f>
        <v>0</v>
      </c>
      <c r="E88" s="61">
        <f t="shared" si="12"/>
        <v>0</v>
      </c>
      <c r="F88" s="62">
        <f t="shared" si="19"/>
        <v>200</v>
      </c>
      <c r="G88" s="63">
        <f t="shared" si="13"/>
        <v>270</v>
      </c>
      <c r="H88" s="64">
        <f t="shared" si="14"/>
        <v>0</v>
      </c>
      <c r="I88" s="65">
        <f t="shared" si="15"/>
        <v>0</v>
      </c>
      <c r="J88" s="66">
        <f t="shared" si="16"/>
        <v>270</v>
      </c>
      <c r="K88" s="61">
        <f t="shared" si="17"/>
        <v>200</v>
      </c>
      <c r="L88" s="67">
        <f t="shared" si="18"/>
        <v>0</v>
      </c>
      <c r="M88" s="62">
        <f t="shared" si="20"/>
        <v>516.96149999999989</v>
      </c>
      <c r="N88" s="62">
        <f t="shared" si="21"/>
        <v>1316.9615000000001</v>
      </c>
      <c r="O88" s="62">
        <f t="shared" si="22"/>
        <v>0</v>
      </c>
      <c r="P88" s="62">
        <f t="shared" si="23"/>
        <v>21093.038500000002</v>
      </c>
    </row>
    <row r="89" spans="2:16" ht="15" customHeight="1" x14ac:dyDescent="0.35">
      <c r="B89" s="68">
        <v>84</v>
      </c>
      <c r="C89" s="69">
        <f>'Rainfall Data'!J115</f>
        <v>46106</v>
      </c>
      <c r="D89" s="70">
        <f>'Rainfall Data'!P115</f>
        <v>0</v>
      </c>
      <c r="E89" s="71">
        <f t="shared" si="12"/>
        <v>0</v>
      </c>
      <c r="F89" s="72">
        <f t="shared" si="19"/>
        <v>200</v>
      </c>
      <c r="G89" s="73">
        <f t="shared" si="13"/>
        <v>270</v>
      </c>
      <c r="H89" s="74">
        <f t="shared" si="14"/>
        <v>0</v>
      </c>
      <c r="I89" s="75">
        <f t="shared" si="15"/>
        <v>0</v>
      </c>
      <c r="J89" s="76">
        <f t="shared" si="16"/>
        <v>270</v>
      </c>
      <c r="K89" s="71">
        <f t="shared" si="17"/>
        <v>200</v>
      </c>
      <c r="L89" s="77">
        <f t="shared" si="18"/>
        <v>0</v>
      </c>
      <c r="M89" s="72">
        <f t="shared" si="20"/>
        <v>516.96149999999989</v>
      </c>
      <c r="N89" s="72">
        <f t="shared" si="21"/>
        <v>1316.9615000000001</v>
      </c>
      <c r="O89" s="72">
        <f t="shared" si="22"/>
        <v>0</v>
      </c>
      <c r="P89" s="72">
        <f t="shared" si="23"/>
        <v>21363.038500000002</v>
      </c>
    </row>
    <row r="90" spans="2:16" ht="15" customHeight="1" x14ac:dyDescent="0.35">
      <c r="B90" s="52">
        <v>85</v>
      </c>
      <c r="C90" s="59">
        <f>'Rainfall Data'!J116</f>
        <v>46107</v>
      </c>
      <c r="D90" s="60">
        <f>'Rainfall Data'!P116</f>
        <v>0</v>
      </c>
      <c r="E90" s="61">
        <f t="shared" si="12"/>
        <v>0</v>
      </c>
      <c r="F90" s="62">
        <f t="shared" si="19"/>
        <v>200</v>
      </c>
      <c r="G90" s="63">
        <f t="shared" si="13"/>
        <v>270</v>
      </c>
      <c r="H90" s="64">
        <f t="shared" si="14"/>
        <v>0</v>
      </c>
      <c r="I90" s="65">
        <f t="shared" si="15"/>
        <v>0</v>
      </c>
      <c r="J90" s="66">
        <f t="shared" si="16"/>
        <v>270</v>
      </c>
      <c r="K90" s="61">
        <f t="shared" si="17"/>
        <v>200</v>
      </c>
      <c r="L90" s="67">
        <f t="shared" si="18"/>
        <v>0</v>
      </c>
      <c r="M90" s="62">
        <f t="shared" si="20"/>
        <v>516.96149999999989</v>
      </c>
      <c r="N90" s="62">
        <f t="shared" si="21"/>
        <v>1316.9615000000001</v>
      </c>
      <c r="O90" s="62">
        <f t="shared" si="22"/>
        <v>0</v>
      </c>
      <c r="P90" s="62">
        <f t="shared" si="23"/>
        <v>21633.038500000002</v>
      </c>
    </row>
    <row r="91" spans="2:16" ht="15" customHeight="1" x14ac:dyDescent="0.35">
      <c r="B91" s="68">
        <v>86</v>
      </c>
      <c r="C91" s="69">
        <f>'Rainfall Data'!J117</f>
        <v>46108</v>
      </c>
      <c r="D91" s="70">
        <f>'Rainfall Data'!P117</f>
        <v>0</v>
      </c>
      <c r="E91" s="71">
        <f t="shared" si="12"/>
        <v>0</v>
      </c>
      <c r="F91" s="72">
        <f t="shared" si="19"/>
        <v>200</v>
      </c>
      <c r="G91" s="73">
        <f t="shared" si="13"/>
        <v>270</v>
      </c>
      <c r="H91" s="74">
        <f t="shared" si="14"/>
        <v>0</v>
      </c>
      <c r="I91" s="75">
        <f t="shared" si="15"/>
        <v>0</v>
      </c>
      <c r="J91" s="76">
        <f t="shared" si="16"/>
        <v>270</v>
      </c>
      <c r="K91" s="71">
        <f t="shared" si="17"/>
        <v>200</v>
      </c>
      <c r="L91" s="77">
        <f t="shared" si="18"/>
        <v>0</v>
      </c>
      <c r="M91" s="72">
        <f t="shared" si="20"/>
        <v>516.96149999999989</v>
      </c>
      <c r="N91" s="72">
        <f t="shared" si="21"/>
        <v>1316.9615000000001</v>
      </c>
      <c r="O91" s="72">
        <f t="shared" si="22"/>
        <v>0</v>
      </c>
      <c r="P91" s="72">
        <f t="shared" si="23"/>
        <v>21903.038500000002</v>
      </c>
    </row>
    <row r="92" spans="2:16" ht="15" customHeight="1" x14ac:dyDescent="0.35">
      <c r="B92" s="52">
        <v>87</v>
      </c>
      <c r="C92" s="59">
        <f>'Rainfall Data'!J118</f>
        <v>46109</v>
      </c>
      <c r="D92" s="60">
        <f>'Rainfall Data'!P118</f>
        <v>0</v>
      </c>
      <c r="E92" s="61">
        <f t="shared" si="12"/>
        <v>0</v>
      </c>
      <c r="F92" s="62">
        <f t="shared" si="19"/>
        <v>200</v>
      </c>
      <c r="G92" s="63">
        <f t="shared" si="13"/>
        <v>270</v>
      </c>
      <c r="H92" s="64">
        <f t="shared" si="14"/>
        <v>0</v>
      </c>
      <c r="I92" s="65">
        <f t="shared" si="15"/>
        <v>0</v>
      </c>
      <c r="J92" s="66">
        <f t="shared" si="16"/>
        <v>270</v>
      </c>
      <c r="K92" s="61">
        <f t="shared" si="17"/>
        <v>200</v>
      </c>
      <c r="L92" s="67">
        <f t="shared" si="18"/>
        <v>0</v>
      </c>
      <c r="M92" s="62">
        <f t="shared" si="20"/>
        <v>516.96149999999989</v>
      </c>
      <c r="N92" s="62">
        <f t="shared" si="21"/>
        <v>1316.9615000000001</v>
      </c>
      <c r="O92" s="62">
        <f t="shared" si="22"/>
        <v>0</v>
      </c>
      <c r="P92" s="62">
        <f t="shared" si="23"/>
        <v>22173.038500000002</v>
      </c>
    </row>
    <row r="93" spans="2:16" ht="15" customHeight="1" x14ac:dyDescent="0.35">
      <c r="B93" s="68">
        <v>88</v>
      </c>
      <c r="C93" s="69">
        <f>'Rainfall Data'!J119</f>
        <v>46110</v>
      </c>
      <c r="D93" s="70">
        <f>'Rainfall Data'!P119</f>
        <v>0</v>
      </c>
      <c r="E93" s="71">
        <f t="shared" si="12"/>
        <v>0</v>
      </c>
      <c r="F93" s="72">
        <f t="shared" si="19"/>
        <v>200</v>
      </c>
      <c r="G93" s="73">
        <f t="shared" si="13"/>
        <v>270</v>
      </c>
      <c r="H93" s="74">
        <f t="shared" si="14"/>
        <v>0</v>
      </c>
      <c r="I93" s="75">
        <f t="shared" si="15"/>
        <v>0</v>
      </c>
      <c r="J93" s="76">
        <f t="shared" si="16"/>
        <v>270</v>
      </c>
      <c r="K93" s="71">
        <f t="shared" si="17"/>
        <v>200</v>
      </c>
      <c r="L93" s="77">
        <f t="shared" si="18"/>
        <v>0</v>
      </c>
      <c r="M93" s="72">
        <f t="shared" si="20"/>
        <v>516.96149999999989</v>
      </c>
      <c r="N93" s="72">
        <f t="shared" si="21"/>
        <v>1316.9615000000001</v>
      </c>
      <c r="O93" s="72">
        <f t="shared" si="22"/>
        <v>0</v>
      </c>
      <c r="P93" s="72">
        <f t="shared" si="23"/>
        <v>22443.038500000002</v>
      </c>
    </row>
    <row r="94" spans="2:16" ht="15" customHeight="1" x14ac:dyDescent="0.35">
      <c r="B94" s="52">
        <v>89</v>
      </c>
      <c r="C94" s="59">
        <f>'Rainfall Data'!J120</f>
        <v>46111</v>
      </c>
      <c r="D94" s="60">
        <f>'Rainfall Data'!P120</f>
        <v>0</v>
      </c>
      <c r="E94" s="61">
        <f t="shared" si="12"/>
        <v>0</v>
      </c>
      <c r="F94" s="62">
        <f t="shared" si="19"/>
        <v>200</v>
      </c>
      <c r="G94" s="63">
        <f t="shared" si="13"/>
        <v>270</v>
      </c>
      <c r="H94" s="64">
        <f t="shared" si="14"/>
        <v>0</v>
      </c>
      <c r="I94" s="65">
        <f t="shared" si="15"/>
        <v>0</v>
      </c>
      <c r="J94" s="66">
        <f t="shared" si="16"/>
        <v>270</v>
      </c>
      <c r="K94" s="61">
        <f t="shared" si="17"/>
        <v>200</v>
      </c>
      <c r="L94" s="67">
        <f t="shared" si="18"/>
        <v>0</v>
      </c>
      <c r="M94" s="62">
        <f t="shared" si="20"/>
        <v>516.96149999999989</v>
      </c>
      <c r="N94" s="62">
        <f t="shared" si="21"/>
        <v>1316.9615000000001</v>
      </c>
      <c r="O94" s="62">
        <f t="shared" si="22"/>
        <v>0</v>
      </c>
      <c r="P94" s="62">
        <f t="shared" si="23"/>
        <v>22713.038500000002</v>
      </c>
    </row>
    <row r="95" spans="2:16" ht="15" customHeight="1" x14ac:dyDescent="0.35">
      <c r="B95" s="68">
        <v>90</v>
      </c>
      <c r="C95" s="69">
        <f>'Rainfall Data'!J121</f>
        <v>46112</v>
      </c>
      <c r="D95" s="70">
        <f>'Rainfall Data'!P121</f>
        <v>0</v>
      </c>
      <c r="E95" s="71">
        <f t="shared" si="12"/>
        <v>0</v>
      </c>
      <c r="F95" s="72">
        <f t="shared" si="19"/>
        <v>200</v>
      </c>
      <c r="G95" s="73">
        <f t="shared" si="13"/>
        <v>270</v>
      </c>
      <c r="H95" s="74">
        <f t="shared" si="14"/>
        <v>0</v>
      </c>
      <c r="I95" s="75">
        <f t="shared" si="15"/>
        <v>0</v>
      </c>
      <c r="J95" s="76">
        <f t="shared" si="16"/>
        <v>270</v>
      </c>
      <c r="K95" s="71">
        <f t="shared" si="17"/>
        <v>200</v>
      </c>
      <c r="L95" s="77">
        <f t="shared" si="18"/>
        <v>0</v>
      </c>
      <c r="M95" s="72">
        <f t="shared" si="20"/>
        <v>516.96149999999989</v>
      </c>
      <c r="N95" s="72">
        <f t="shared" si="21"/>
        <v>1316.9615000000001</v>
      </c>
      <c r="O95" s="72">
        <f t="shared" si="22"/>
        <v>0</v>
      </c>
      <c r="P95" s="72">
        <f t="shared" si="23"/>
        <v>22983.038500000002</v>
      </c>
    </row>
    <row r="96" spans="2:16" ht="15" customHeight="1" x14ac:dyDescent="0.35">
      <c r="B96" s="52">
        <v>91</v>
      </c>
      <c r="C96" s="59">
        <f>'Rainfall Data'!J122</f>
        <v>46113</v>
      </c>
      <c r="D96" s="60">
        <f>'Rainfall Data'!P122</f>
        <v>0</v>
      </c>
      <c r="E96" s="61">
        <f t="shared" si="12"/>
        <v>0</v>
      </c>
      <c r="F96" s="62">
        <f t="shared" si="19"/>
        <v>200</v>
      </c>
      <c r="G96" s="63">
        <f t="shared" si="13"/>
        <v>270</v>
      </c>
      <c r="H96" s="64">
        <f t="shared" si="14"/>
        <v>0</v>
      </c>
      <c r="I96" s="65">
        <f t="shared" si="15"/>
        <v>0</v>
      </c>
      <c r="J96" s="66">
        <f t="shared" si="16"/>
        <v>270</v>
      </c>
      <c r="K96" s="61">
        <f t="shared" si="17"/>
        <v>200</v>
      </c>
      <c r="L96" s="67">
        <f t="shared" si="18"/>
        <v>0</v>
      </c>
      <c r="M96" s="62">
        <f t="shared" si="20"/>
        <v>516.96149999999989</v>
      </c>
      <c r="N96" s="62">
        <f t="shared" si="21"/>
        <v>1316.9615000000001</v>
      </c>
      <c r="O96" s="62">
        <f t="shared" si="22"/>
        <v>0</v>
      </c>
      <c r="P96" s="62">
        <f t="shared" si="23"/>
        <v>23253.038500000002</v>
      </c>
    </row>
    <row r="97" spans="2:16" ht="15" customHeight="1" x14ac:dyDescent="0.35">
      <c r="B97" s="68">
        <v>92</v>
      </c>
      <c r="C97" s="69">
        <f>'Rainfall Data'!J123</f>
        <v>46114</v>
      </c>
      <c r="D97" s="70">
        <f>'Rainfall Data'!P123</f>
        <v>0</v>
      </c>
      <c r="E97" s="71">
        <f t="shared" si="12"/>
        <v>0</v>
      </c>
      <c r="F97" s="72">
        <f t="shared" si="19"/>
        <v>200</v>
      </c>
      <c r="G97" s="73">
        <f t="shared" si="13"/>
        <v>270</v>
      </c>
      <c r="H97" s="74">
        <f t="shared" si="14"/>
        <v>0</v>
      </c>
      <c r="I97" s="75">
        <f t="shared" si="15"/>
        <v>0</v>
      </c>
      <c r="J97" s="76">
        <f t="shared" si="16"/>
        <v>270</v>
      </c>
      <c r="K97" s="71">
        <f t="shared" si="17"/>
        <v>200</v>
      </c>
      <c r="L97" s="77">
        <f t="shared" si="18"/>
        <v>0</v>
      </c>
      <c r="M97" s="72">
        <f t="shared" si="20"/>
        <v>516.96149999999989</v>
      </c>
      <c r="N97" s="72">
        <f t="shared" si="21"/>
        <v>1316.9615000000001</v>
      </c>
      <c r="O97" s="72">
        <f t="shared" si="22"/>
        <v>0</v>
      </c>
      <c r="P97" s="72">
        <f t="shared" si="23"/>
        <v>23523.038500000002</v>
      </c>
    </row>
    <row r="98" spans="2:16" ht="15" customHeight="1" x14ac:dyDescent="0.35">
      <c r="B98" s="52">
        <v>93</v>
      </c>
      <c r="C98" s="59">
        <f>'Rainfall Data'!J124</f>
        <v>46115</v>
      </c>
      <c r="D98" s="60">
        <f>'Rainfall Data'!P124</f>
        <v>0</v>
      </c>
      <c r="E98" s="61">
        <f t="shared" si="12"/>
        <v>0</v>
      </c>
      <c r="F98" s="62">
        <f t="shared" si="19"/>
        <v>200</v>
      </c>
      <c r="G98" s="63">
        <f t="shared" si="13"/>
        <v>270</v>
      </c>
      <c r="H98" s="64">
        <f t="shared" si="14"/>
        <v>0</v>
      </c>
      <c r="I98" s="65">
        <f t="shared" si="15"/>
        <v>0</v>
      </c>
      <c r="J98" s="66">
        <f t="shared" si="16"/>
        <v>270</v>
      </c>
      <c r="K98" s="61">
        <f t="shared" si="17"/>
        <v>200</v>
      </c>
      <c r="L98" s="67">
        <f t="shared" si="18"/>
        <v>0</v>
      </c>
      <c r="M98" s="62">
        <f t="shared" si="20"/>
        <v>516.96149999999989</v>
      </c>
      <c r="N98" s="62">
        <f t="shared" si="21"/>
        <v>1316.9615000000001</v>
      </c>
      <c r="O98" s="62">
        <f t="shared" si="22"/>
        <v>0</v>
      </c>
      <c r="P98" s="62">
        <f t="shared" si="23"/>
        <v>23793.038500000002</v>
      </c>
    </row>
    <row r="99" spans="2:16" ht="15" customHeight="1" x14ac:dyDescent="0.35">
      <c r="B99" s="68">
        <v>94</v>
      </c>
      <c r="C99" s="69">
        <f>'Rainfall Data'!J125</f>
        <v>46116</v>
      </c>
      <c r="D99" s="70">
        <f>'Rainfall Data'!P125</f>
        <v>0</v>
      </c>
      <c r="E99" s="71">
        <f t="shared" si="12"/>
        <v>0</v>
      </c>
      <c r="F99" s="72">
        <f t="shared" si="19"/>
        <v>200</v>
      </c>
      <c r="G99" s="73">
        <f t="shared" si="13"/>
        <v>270</v>
      </c>
      <c r="H99" s="74">
        <f t="shared" si="14"/>
        <v>0</v>
      </c>
      <c r="I99" s="75">
        <f t="shared" si="15"/>
        <v>0</v>
      </c>
      <c r="J99" s="76">
        <f t="shared" si="16"/>
        <v>270</v>
      </c>
      <c r="K99" s="71">
        <f t="shared" si="17"/>
        <v>200</v>
      </c>
      <c r="L99" s="77">
        <f t="shared" si="18"/>
        <v>0</v>
      </c>
      <c r="M99" s="72">
        <f t="shared" si="20"/>
        <v>516.96149999999989</v>
      </c>
      <c r="N99" s="72">
        <f t="shared" si="21"/>
        <v>1316.9615000000001</v>
      </c>
      <c r="O99" s="72">
        <f t="shared" si="22"/>
        <v>0</v>
      </c>
      <c r="P99" s="72">
        <f t="shared" si="23"/>
        <v>24063.038500000002</v>
      </c>
    </row>
    <row r="100" spans="2:16" ht="15" customHeight="1" x14ac:dyDescent="0.35">
      <c r="B100" s="52">
        <v>95</v>
      </c>
      <c r="C100" s="59">
        <f>'Rainfall Data'!J126</f>
        <v>46117</v>
      </c>
      <c r="D100" s="60">
        <f>'Rainfall Data'!P126</f>
        <v>0</v>
      </c>
      <c r="E100" s="61">
        <f t="shared" si="12"/>
        <v>0</v>
      </c>
      <c r="F100" s="62">
        <f t="shared" si="19"/>
        <v>200</v>
      </c>
      <c r="G100" s="63">
        <f t="shared" si="13"/>
        <v>270</v>
      </c>
      <c r="H100" s="64">
        <f t="shared" si="14"/>
        <v>0</v>
      </c>
      <c r="I100" s="65">
        <f t="shared" si="15"/>
        <v>0</v>
      </c>
      <c r="J100" s="66">
        <f t="shared" si="16"/>
        <v>270</v>
      </c>
      <c r="K100" s="61">
        <f t="shared" si="17"/>
        <v>200</v>
      </c>
      <c r="L100" s="67">
        <f t="shared" si="18"/>
        <v>0</v>
      </c>
      <c r="M100" s="62">
        <f t="shared" si="20"/>
        <v>516.96149999999989</v>
      </c>
      <c r="N100" s="62">
        <f t="shared" si="21"/>
        <v>1316.9615000000001</v>
      </c>
      <c r="O100" s="62">
        <f t="shared" si="22"/>
        <v>0</v>
      </c>
      <c r="P100" s="62">
        <f t="shared" si="23"/>
        <v>24333.038500000002</v>
      </c>
    </row>
    <row r="101" spans="2:16" ht="15" customHeight="1" x14ac:dyDescent="0.35">
      <c r="B101" s="68">
        <v>96</v>
      </c>
      <c r="C101" s="69">
        <f>'Rainfall Data'!J127</f>
        <v>46118</v>
      </c>
      <c r="D101" s="70">
        <f>'Rainfall Data'!P127</f>
        <v>0</v>
      </c>
      <c r="E101" s="71">
        <f t="shared" si="12"/>
        <v>0</v>
      </c>
      <c r="F101" s="72">
        <f t="shared" si="19"/>
        <v>200</v>
      </c>
      <c r="G101" s="73">
        <f t="shared" si="13"/>
        <v>270</v>
      </c>
      <c r="H101" s="74">
        <f t="shared" si="14"/>
        <v>0</v>
      </c>
      <c r="I101" s="75">
        <f t="shared" si="15"/>
        <v>0</v>
      </c>
      <c r="J101" s="76">
        <f t="shared" si="16"/>
        <v>270</v>
      </c>
      <c r="K101" s="71">
        <f t="shared" si="17"/>
        <v>200</v>
      </c>
      <c r="L101" s="77">
        <f t="shared" si="18"/>
        <v>0</v>
      </c>
      <c r="M101" s="72">
        <f t="shared" si="20"/>
        <v>516.96149999999989</v>
      </c>
      <c r="N101" s="72">
        <f t="shared" si="21"/>
        <v>1316.9615000000001</v>
      </c>
      <c r="O101" s="72">
        <f t="shared" si="22"/>
        <v>0</v>
      </c>
      <c r="P101" s="72">
        <f t="shared" si="23"/>
        <v>24603.038500000002</v>
      </c>
    </row>
    <row r="102" spans="2:16" ht="15" customHeight="1" x14ac:dyDescent="0.35">
      <c r="B102" s="52">
        <v>97</v>
      </c>
      <c r="C102" s="59">
        <f>'Rainfall Data'!J128</f>
        <v>46119</v>
      </c>
      <c r="D102" s="60">
        <f>'Rainfall Data'!P128</f>
        <v>0</v>
      </c>
      <c r="E102" s="61">
        <f t="shared" si="12"/>
        <v>0</v>
      </c>
      <c r="F102" s="62">
        <f t="shared" si="19"/>
        <v>200</v>
      </c>
      <c r="G102" s="63">
        <f t="shared" si="13"/>
        <v>270</v>
      </c>
      <c r="H102" s="64">
        <f t="shared" si="14"/>
        <v>0</v>
      </c>
      <c r="I102" s="65">
        <f t="shared" si="15"/>
        <v>0</v>
      </c>
      <c r="J102" s="66">
        <f t="shared" si="16"/>
        <v>270</v>
      </c>
      <c r="K102" s="61">
        <f t="shared" si="17"/>
        <v>200</v>
      </c>
      <c r="L102" s="67">
        <f t="shared" si="18"/>
        <v>0</v>
      </c>
      <c r="M102" s="62">
        <f t="shared" si="20"/>
        <v>516.96149999999989</v>
      </c>
      <c r="N102" s="62">
        <f t="shared" si="21"/>
        <v>1316.9615000000001</v>
      </c>
      <c r="O102" s="62">
        <f t="shared" si="22"/>
        <v>0</v>
      </c>
      <c r="P102" s="62">
        <f t="shared" si="23"/>
        <v>24873.038500000002</v>
      </c>
    </row>
    <row r="103" spans="2:16" ht="15" customHeight="1" x14ac:dyDescent="0.35">
      <c r="B103" s="68">
        <v>98</v>
      </c>
      <c r="C103" s="69">
        <f>'Rainfall Data'!J129</f>
        <v>46120</v>
      </c>
      <c r="D103" s="70">
        <f>'Rainfall Data'!P129</f>
        <v>0</v>
      </c>
      <c r="E103" s="71">
        <f t="shared" si="12"/>
        <v>0</v>
      </c>
      <c r="F103" s="72">
        <f t="shared" si="19"/>
        <v>200</v>
      </c>
      <c r="G103" s="73">
        <f t="shared" si="13"/>
        <v>270</v>
      </c>
      <c r="H103" s="74">
        <f t="shared" si="14"/>
        <v>0</v>
      </c>
      <c r="I103" s="75">
        <f t="shared" si="15"/>
        <v>0</v>
      </c>
      <c r="J103" s="76">
        <f t="shared" si="16"/>
        <v>270</v>
      </c>
      <c r="K103" s="71">
        <f t="shared" si="17"/>
        <v>200</v>
      </c>
      <c r="L103" s="77">
        <f t="shared" si="18"/>
        <v>0</v>
      </c>
      <c r="M103" s="72">
        <f t="shared" si="20"/>
        <v>516.96149999999989</v>
      </c>
      <c r="N103" s="72">
        <f t="shared" si="21"/>
        <v>1316.9615000000001</v>
      </c>
      <c r="O103" s="72">
        <f t="shared" si="22"/>
        <v>0</v>
      </c>
      <c r="P103" s="72">
        <f t="shared" si="23"/>
        <v>25143.038500000002</v>
      </c>
    </row>
    <row r="104" spans="2:16" ht="15" customHeight="1" x14ac:dyDescent="0.35">
      <c r="B104" s="52">
        <v>99</v>
      </c>
      <c r="C104" s="59">
        <f>'Rainfall Data'!J130</f>
        <v>46121</v>
      </c>
      <c r="D104" s="60">
        <f>'Rainfall Data'!P130</f>
        <v>0</v>
      </c>
      <c r="E104" s="61">
        <f t="shared" si="12"/>
        <v>0</v>
      </c>
      <c r="F104" s="62">
        <f t="shared" si="19"/>
        <v>200</v>
      </c>
      <c r="G104" s="63">
        <f t="shared" si="13"/>
        <v>270</v>
      </c>
      <c r="H104" s="64">
        <f t="shared" si="14"/>
        <v>0</v>
      </c>
      <c r="I104" s="65">
        <f t="shared" si="15"/>
        <v>0</v>
      </c>
      <c r="J104" s="66">
        <f t="shared" si="16"/>
        <v>270</v>
      </c>
      <c r="K104" s="61">
        <f t="shared" si="17"/>
        <v>200</v>
      </c>
      <c r="L104" s="67">
        <f t="shared" si="18"/>
        <v>0</v>
      </c>
      <c r="M104" s="62">
        <f t="shared" si="20"/>
        <v>516.96149999999989</v>
      </c>
      <c r="N104" s="62">
        <f t="shared" si="21"/>
        <v>1316.9615000000001</v>
      </c>
      <c r="O104" s="62">
        <f t="shared" si="22"/>
        <v>0</v>
      </c>
      <c r="P104" s="62">
        <f t="shared" si="23"/>
        <v>25413.038500000002</v>
      </c>
    </row>
    <row r="105" spans="2:16" ht="15" customHeight="1" x14ac:dyDescent="0.35">
      <c r="B105" s="68">
        <v>100</v>
      </c>
      <c r="C105" s="69">
        <f>'Rainfall Data'!J131</f>
        <v>46122</v>
      </c>
      <c r="D105" s="70">
        <f>'Rainfall Data'!P131</f>
        <v>0</v>
      </c>
      <c r="E105" s="71">
        <f t="shared" si="12"/>
        <v>0</v>
      </c>
      <c r="F105" s="72">
        <f t="shared" si="19"/>
        <v>200</v>
      </c>
      <c r="G105" s="73">
        <f t="shared" si="13"/>
        <v>270</v>
      </c>
      <c r="H105" s="74">
        <f t="shared" si="14"/>
        <v>0</v>
      </c>
      <c r="I105" s="75">
        <f t="shared" si="15"/>
        <v>0</v>
      </c>
      <c r="J105" s="76">
        <f t="shared" si="16"/>
        <v>270</v>
      </c>
      <c r="K105" s="71">
        <f t="shared" si="17"/>
        <v>200</v>
      </c>
      <c r="L105" s="77">
        <f t="shared" si="18"/>
        <v>0</v>
      </c>
      <c r="M105" s="72">
        <f t="shared" si="20"/>
        <v>516.96149999999989</v>
      </c>
      <c r="N105" s="72">
        <f t="shared" si="21"/>
        <v>1316.9615000000001</v>
      </c>
      <c r="O105" s="72">
        <f t="shared" si="22"/>
        <v>0</v>
      </c>
      <c r="P105" s="72">
        <f t="shared" si="23"/>
        <v>25683.038500000002</v>
      </c>
    </row>
    <row r="106" spans="2:16" ht="15" customHeight="1" x14ac:dyDescent="0.35">
      <c r="B106" s="52">
        <v>101</v>
      </c>
      <c r="C106" s="59">
        <f>'Rainfall Data'!J132</f>
        <v>46123</v>
      </c>
      <c r="D106" s="60">
        <f>'Rainfall Data'!P132</f>
        <v>0</v>
      </c>
      <c r="E106" s="61">
        <f t="shared" si="12"/>
        <v>0</v>
      </c>
      <c r="F106" s="62">
        <f t="shared" si="19"/>
        <v>200</v>
      </c>
      <c r="G106" s="63">
        <f t="shared" si="13"/>
        <v>270</v>
      </c>
      <c r="H106" s="64">
        <f t="shared" si="14"/>
        <v>0</v>
      </c>
      <c r="I106" s="65">
        <f t="shared" si="15"/>
        <v>0</v>
      </c>
      <c r="J106" s="66">
        <f t="shared" si="16"/>
        <v>270</v>
      </c>
      <c r="K106" s="61">
        <f t="shared" si="17"/>
        <v>200</v>
      </c>
      <c r="L106" s="67">
        <f t="shared" si="18"/>
        <v>0</v>
      </c>
      <c r="M106" s="62">
        <f t="shared" si="20"/>
        <v>516.96149999999989</v>
      </c>
      <c r="N106" s="62">
        <f t="shared" si="21"/>
        <v>1316.9615000000001</v>
      </c>
      <c r="O106" s="62">
        <f t="shared" si="22"/>
        <v>0</v>
      </c>
      <c r="P106" s="62">
        <f t="shared" si="23"/>
        <v>25953.038500000002</v>
      </c>
    </row>
    <row r="107" spans="2:16" ht="15" customHeight="1" x14ac:dyDescent="0.35">
      <c r="B107" s="68">
        <v>102</v>
      </c>
      <c r="C107" s="69">
        <f>'Rainfall Data'!J133</f>
        <v>46124</v>
      </c>
      <c r="D107" s="70">
        <f>'Rainfall Data'!P133</f>
        <v>0</v>
      </c>
      <c r="E107" s="71">
        <f t="shared" si="12"/>
        <v>0</v>
      </c>
      <c r="F107" s="72">
        <f t="shared" si="19"/>
        <v>200</v>
      </c>
      <c r="G107" s="73">
        <f t="shared" si="13"/>
        <v>270</v>
      </c>
      <c r="H107" s="74">
        <f t="shared" si="14"/>
        <v>0</v>
      </c>
      <c r="I107" s="75">
        <f t="shared" si="15"/>
        <v>0</v>
      </c>
      <c r="J107" s="76">
        <f t="shared" si="16"/>
        <v>270</v>
      </c>
      <c r="K107" s="71">
        <f t="shared" si="17"/>
        <v>200</v>
      </c>
      <c r="L107" s="77">
        <f t="shared" si="18"/>
        <v>0</v>
      </c>
      <c r="M107" s="72">
        <f t="shared" si="20"/>
        <v>516.96149999999989</v>
      </c>
      <c r="N107" s="72">
        <f t="shared" si="21"/>
        <v>1316.9615000000001</v>
      </c>
      <c r="O107" s="72">
        <f t="shared" si="22"/>
        <v>0</v>
      </c>
      <c r="P107" s="72">
        <f t="shared" si="23"/>
        <v>26223.038500000002</v>
      </c>
    </row>
    <row r="108" spans="2:16" ht="15" customHeight="1" x14ac:dyDescent="0.35">
      <c r="B108" s="52">
        <v>103</v>
      </c>
      <c r="C108" s="59">
        <f>'Rainfall Data'!J134</f>
        <v>46125</v>
      </c>
      <c r="D108" s="60">
        <f>'Rainfall Data'!P134</f>
        <v>0</v>
      </c>
      <c r="E108" s="61">
        <f t="shared" si="12"/>
        <v>0</v>
      </c>
      <c r="F108" s="62">
        <f t="shared" si="19"/>
        <v>200</v>
      </c>
      <c r="G108" s="63">
        <f t="shared" si="13"/>
        <v>270</v>
      </c>
      <c r="H108" s="64">
        <f t="shared" si="14"/>
        <v>0</v>
      </c>
      <c r="I108" s="65">
        <f t="shared" si="15"/>
        <v>0</v>
      </c>
      <c r="J108" s="66">
        <f t="shared" si="16"/>
        <v>270</v>
      </c>
      <c r="K108" s="61">
        <f t="shared" si="17"/>
        <v>200</v>
      </c>
      <c r="L108" s="67">
        <f t="shared" si="18"/>
        <v>0</v>
      </c>
      <c r="M108" s="62">
        <f t="shared" si="20"/>
        <v>516.96149999999989</v>
      </c>
      <c r="N108" s="62">
        <f t="shared" si="21"/>
        <v>1316.9615000000001</v>
      </c>
      <c r="O108" s="62">
        <f t="shared" si="22"/>
        <v>0</v>
      </c>
      <c r="P108" s="62">
        <f t="shared" si="23"/>
        <v>26493.038500000002</v>
      </c>
    </row>
    <row r="109" spans="2:16" ht="15" customHeight="1" x14ac:dyDescent="0.35">
      <c r="B109" s="68">
        <v>104</v>
      </c>
      <c r="C109" s="69">
        <f>'Rainfall Data'!J135</f>
        <v>46126</v>
      </c>
      <c r="D109" s="70">
        <f>'Rainfall Data'!P135</f>
        <v>0</v>
      </c>
      <c r="E109" s="71">
        <f t="shared" si="12"/>
        <v>0</v>
      </c>
      <c r="F109" s="72">
        <f t="shared" si="19"/>
        <v>200</v>
      </c>
      <c r="G109" s="73">
        <f t="shared" si="13"/>
        <v>270</v>
      </c>
      <c r="H109" s="74">
        <f t="shared" si="14"/>
        <v>0</v>
      </c>
      <c r="I109" s="75">
        <f t="shared" si="15"/>
        <v>0</v>
      </c>
      <c r="J109" s="76">
        <f t="shared" si="16"/>
        <v>270</v>
      </c>
      <c r="K109" s="71">
        <f t="shared" si="17"/>
        <v>200</v>
      </c>
      <c r="L109" s="77">
        <f t="shared" si="18"/>
        <v>0</v>
      </c>
      <c r="M109" s="72">
        <f t="shared" si="20"/>
        <v>516.96149999999989</v>
      </c>
      <c r="N109" s="72">
        <f t="shared" si="21"/>
        <v>1316.9615000000001</v>
      </c>
      <c r="O109" s="72">
        <f t="shared" si="22"/>
        <v>0</v>
      </c>
      <c r="P109" s="72">
        <f t="shared" si="23"/>
        <v>26763.038500000002</v>
      </c>
    </row>
    <row r="110" spans="2:16" ht="15" customHeight="1" x14ac:dyDescent="0.35">
      <c r="B110" s="52">
        <v>105</v>
      </c>
      <c r="C110" s="59">
        <f>'Rainfall Data'!J136</f>
        <v>46127</v>
      </c>
      <c r="D110" s="60">
        <f>'Rainfall Data'!P136</f>
        <v>0</v>
      </c>
      <c r="E110" s="61">
        <f t="shared" si="12"/>
        <v>0</v>
      </c>
      <c r="F110" s="62">
        <f t="shared" si="19"/>
        <v>200</v>
      </c>
      <c r="G110" s="63">
        <f t="shared" si="13"/>
        <v>270</v>
      </c>
      <c r="H110" s="64">
        <f t="shared" si="14"/>
        <v>0</v>
      </c>
      <c r="I110" s="65">
        <f t="shared" si="15"/>
        <v>0</v>
      </c>
      <c r="J110" s="66">
        <f t="shared" si="16"/>
        <v>270</v>
      </c>
      <c r="K110" s="61">
        <f t="shared" si="17"/>
        <v>200</v>
      </c>
      <c r="L110" s="67">
        <f t="shared" si="18"/>
        <v>0</v>
      </c>
      <c r="M110" s="62">
        <f t="shared" si="20"/>
        <v>516.96149999999989</v>
      </c>
      <c r="N110" s="62">
        <f t="shared" si="21"/>
        <v>1316.9615000000001</v>
      </c>
      <c r="O110" s="62">
        <f t="shared" si="22"/>
        <v>0</v>
      </c>
      <c r="P110" s="62">
        <f t="shared" si="23"/>
        <v>27033.038500000002</v>
      </c>
    </row>
    <row r="111" spans="2:16" ht="15" customHeight="1" x14ac:dyDescent="0.35">
      <c r="B111" s="68">
        <v>106</v>
      </c>
      <c r="C111" s="69">
        <f>'Rainfall Data'!J137</f>
        <v>46128</v>
      </c>
      <c r="D111" s="70">
        <f>'Rainfall Data'!P137</f>
        <v>0</v>
      </c>
      <c r="E111" s="71">
        <f t="shared" si="12"/>
        <v>0</v>
      </c>
      <c r="F111" s="72">
        <f t="shared" si="19"/>
        <v>200</v>
      </c>
      <c r="G111" s="73">
        <f t="shared" si="13"/>
        <v>270</v>
      </c>
      <c r="H111" s="74">
        <f t="shared" si="14"/>
        <v>0</v>
      </c>
      <c r="I111" s="75">
        <f t="shared" si="15"/>
        <v>0</v>
      </c>
      <c r="J111" s="76">
        <f t="shared" si="16"/>
        <v>270</v>
      </c>
      <c r="K111" s="71">
        <f t="shared" si="17"/>
        <v>200</v>
      </c>
      <c r="L111" s="77">
        <f t="shared" si="18"/>
        <v>0</v>
      </c>
      <c r="M111" s="72">
        <f t="shared" si="20"/>
        <v>516.96149999999989</v>
      </c>
      <c r="N111" s="72">
        <f t="shared" si="21"/>
        <v>1316.9615000000001</v>
      </c>
      <c r="O111" s="72">
        <f t="shared" si="22"/>
        <v>0</v>
      </c>
      <c r="P111" s="72">
        <f t="shared" si="23"/>
        <v>27303.038500000002</v>
      </c>
    </row>
    <row r="112" spans="2:16" ht="15" customHeight="1" x14ac:dyDescent="0.35">
      <c r="B112" s="52">
        <v>107</v>
      </c>
      <c r="C112" s="59">
        <f>'Rainfall Data'!J138</f>
        <v>46129</v>
      </c>
      <c r="D112" s="60">
        <f>'Rainfall Data'!P138</f>
        <v>0</v>
      </c>
      <c r="E112" s="61">
        <f t="shared" si="12"/>
        <v>0</v>
      </c>
      <c r="F112" s="62">
        <f t="shared" si="19"/>
        <v>200</v>
      </c>
      <c r="G112" s="63">
        <f t="shared" si="13"/>
        <v>270</v>
      </c>
      <c r="H112" s="64">
        <f t="shared" si="14"/>
        <v>0</v>
      </c>
      <c r="I112" s="65">
        <f t="shared" si="15"/>
        <v>0</v>
      </c>
      <c r="J112" s="66">
        <f t="shared" si="16"/>
        <v>270</v>
      </c>
      <c r="K112" s="61">
        <f t="shared" si="17"/>
        <v>200</v>
      </c>
      <c r="L112" s="67">
        <f t="shared" si="18"/>
        <v>0</v>
      </c>
      <c r="M112" s="62">
        <f t="shared" si="20"/>
        <v>516.96149999999989</v>
      </c>
      <c r="N112" s="62">
        <f t="shared" si="21"/>
        <v>1316.9615000000001</v>
      </c>
      <c r="O112" s="62">
        <f t="shared" si="22"/>
        <v>0</v>
      </c>
      <c r="P112" s="62">
        <f t="shared" si="23"/>
        <v>27573.038500000002</v>
      </c>
    </row>
    <row r="113" spans="2:16" ht="15" customHeight="1" x14ac:dyDescent="0.35">
      <c r="B113" s="68">
        <v>108</v>
      </c>
      <c r="C113" s="69">
        <f>'Rainfall Data'!J139</f>
        <v>46130</v>
      </c>
      <c r="D113" s="70">
        <f>'Rainfall Data'!P139</f>
        <v>0</v>
      </c>
      <c r="E113" s="71">
        <f t="shared" si="12"/>
        <v>0</v>
      </c>
      <c r="F113" s="72">
        <f t="shared" si="19"/>
        <v>200</v>
      </c>
      <c r="G113" s="73">
        <f t="shared" si="13"/>
        <v>270</v>
      </c>
      <c r="H113" s="74">
        <f t="shared" si="14"/>
        <v>0</v>
      </c>
      <c r="I113" s="75">
        <f t="shared" si="15"/>
        <v>0</v>
      </c>
      <c r="J113" s="76">
        <f t="shared" si="16"/>
        <v>270</v>
      </c>
      <c r="K113" s="71">
        <f t="shared" si="17"/>
        <v>200</v>
      </c>
      <c r="L113" s="77">
        <f t="shared" si="18"/>
        <v>0</v>
      </c>
      <c r="M113" s="72">
        <f t="shared" si="20"/>
        <v>516.96149999999989</v>
      </c>
      <c r="N113" s="72">
        <f t="shared" si="21"/>
        <v>1316.9615000000001</v>
      </c>
      <c r="O113" s="72">
        <f t="shared" si="22"/>
        <v>0</v>
      </c>
      <c r="P113" s="72">
        <f t="shared" si="23"/>
        <v>27843.038500000002</v>
      </c>
    </row>
    <row r="114" spans="2:16" ht="15" customHeight="1" x14ac:dyDescent="0.35">
      <c r="B114" s="52">
        <v>109</v>
      </c>
      <c r="C114" s="59">
        <f>'Rainfall Data'!J140</f>
        <v>46131</v>
      </c>
      <c r="D114" s="60">
        <f>'Rainfall Data'!P140</f>
        <v>0</v>
      </c>
      <c r="E114" s="61">
        <f t="shared" si="12"/>
        <v>0</v>
      </c>
      <c r="F114" s="62">
        <f t="shared" si="19"/>
        <v>200</v>
      </c>
      <c r="G114" s="63">
        <f t="shared" si="13"/>
        <v>270</v>
      </c>
      <c r="H114" s="64">
        <f t="shared" si="14"/>
        <v>0</v>
      </c>
      <c r="I114" s="65">
        <f t="shared" si="15"/>
        <v>0</v>
      </c>
      <c r="J114" s="66">
        <f t="shared" si="16"/>
        <v>270</v>
      </c>
      <c r="K114" s="61">
        <f t="shared" si="17"/>
        <v>200</v>
      </c>
      <c r="L114" s="67">
        <f t="shared" si="18"/>
        <v>0</v>
      </c>
      <c r="M114" s="62">
        <f t="shared" si="20"/>
        <v>516.96149999999989</v>
      </c>
      <c r="N114" s="62">
        <f t="shared" si="21"/>
        <v>1316.9615000000001</v>
      </c>
      <c r="O114" s="62">
        <f t="shared" si="22"/>
        <v>0</v>
      </c>
      <c r="P114" s="62">
        <f t="shared" si="23"/>
        <v>28113.038500000002</v>
      </c>
    </row>
    <row r="115" spans="2:16" ht="15" customHeight="1" x14ac:dyDescent="0.35">
      <c r="B115" s="68">
        <v>110</v>
      </c>
      <c r="C115" s="69">
        <f>'Rainfall Data'!J141</f>
        <v>46132</v>
      </c>
      <c r="D115" s="70">
        <f>'Rainfall Data'!P141</f>
        <v>0</v>
      </c>
      <c r="E115" s="71">
        <f t="shared" si="12"/>
        <v>0</v>
      </c>
      <c r="F115" s="72">
        <f t="shared" si="19"/>
        <v>200</v>
      </c>
      <c r="G115" s="73">
        <f t="shared" si="13"/>
        <v>270</v>
      </c>
      <c r="H115" s="74">
        <f t="shared" si="14"/>
        <v>0</v>
      </c>
      <c r="I115" s="75">
        <f t="shared" si="15"/>
        <v>0</v>
      </c>
      <c r="J115" s="76">
        <f t="shared" si="16"/>
        <v>270</v>
      </c>
      <c r="K115" s="71">
        <f t="shared" si="17"/>
        <v>200</v>
      </c>
      <c r="L115" s="77">
        <f t="shared" si="18"/>
        <v>0</v>
      </c>
      <c r="M115" s="72">
        <f t="shared" si="20"/>
        <v>516.96149999999989</v>
      </c>
      <c r="N115" s="72">
        <f t="shared" si="21"/>
        <v>1316.9615000000001</v>
      </c>
      <c r="O115" s="72">
        <f t="shared" si="22"/>
        <v>0</v>
      </c>
      <c r="P115" s="72">
        <f t="shared" si="23"/>
        <v>28383.038500000002</v>
      </c>
    </row>
    <row r="116" spans="2:16" ht="15" customHeight="1" x14ac:dyDescent="0.35">
      <c r="B116" s="52">
        <v>111</v>
      </c>
      <c r="C116" s="59">
        <f>'Rainfall Data'!J142</f>
        <v>46133</v>
      </c>
      <c r="D116" s="60">
        <f>'Rainfall Data'!P142</f>
        <v>0</v>
      </c>
      <c r="E116" s="61">
        <f t="shared" si="12"/>
        <v>0</v>
      </c>
      <c r="F116" s="62">
        <f t="shared" si="19"/>
        <v>200</v>
      </c>
      <c r="G116" s="63">
        <f t="shared" si="13"/>
        <v>270</v>
      </c>
      <c r="H116" s="64">
        <f t="shared" si="14"/>
        <v>0</v>
      </c>
      <c r="I116" s="65">
        <f t="shared" si="15"/>
        <v>0</v>
      </c>
      <c r="J116" s="66">
        <f t="shared" si="16"/>
        <v>270</v>
      </c>
      <c r="K116" s="61">
        <f t="shared" si="17"/>
        <v>200</v>
      </c>
      <c r="L116" s="67">
        <f t="shared" si="18"/>
        <v>0</v>
      </c>
      <c r="M116" s="62">
        <f t="shared" si="20"/>
        <v>516.96149999999989</v>
      </c>
      <c r="N116" s="62">
        <f t="shared" si="21"/>
        <v>1316.9615000000001</v>
      </c>
      <c r="O116" s="62">
        <f t="shared" si="22"/>
        <v>0</v>
      </c>
      <c r="P116" s="62">
        <f t="shared" si="23"/>
        <v>28653.038500000002</v>
      </c>
    </row>
    <row r="117" spans="2:16" ht="15" customHeight="1" x14ac:dyDescent="0.35">
      <c r="B117" s="68">
        <v>112</v>
      </c>
      <c r="C117" s="69">
        <f>'Rainfall Data'!J143</f>
        <v>46134</v>
      </c>
      <c r="D117" s="70">
        <f>'Rainfall Data'!P143</f>
        <v>0</v>
      </c>
      <c r="E117" s="71">
        <f t="shared" si="12"/>
        <v>0</v>
      </c>
      <c r="F117" s="72">
        <f t="shared" si="19"/>
        <v>200</v>
      </c>
      <c r="G117" s="73">
        <f t="shared" si="13"/>
        <v>270</v>
      </c>
      <c r="H117" s="74">
        <f t="shared" si="14"/>
        <v>0</v>
      </c>
      <c r="I117" s="75">
        <f t="shared" si="15"/>
        <v>0</v>
      </c>
      <c r="J117" s="76">
        <f t="shared" si="16"/>
        <v>270</v>
      </c>
      <c r="K117" s="71">
        <f t="shared" si="17"/>
        <v>200</v>
      </c>
      <c r="L117" s="77">
        <f t="shared" si="18"/>
        <v>0</v>
      </c>
      <c r="M117" s="72">
        <f t="shared" si="20"/>
        <v>516.96149999999989</v>
      </c>
      <c r="N117" s="72">
        <f t="shared" si="21"/>
        <v>1316.9615000000001</v>
      </c>
      <c r="O117" s="72">
        <f t="shared" si="22"/>
        <v>0</v>
      </c>
      <c r="P117" s="72">
        <f t="shared" si="23"/>
        <v>28923.038500000002</v>
      </c>
    </row>
    <row r="118" spans="2:16" ht="15" customHeight="1" x14ac:dyDescent="0.35">
      <c r="B118" s="52">
        <v>113</v>
      </c>
      <c r="C118" s="59">
        <f>'Rainfall Data'!J144</f>
        <v>46135</v>
      </c>
      <c r="D118" s="60">
        <f>'Rainfall Data'!P144</f>
        <v>0</v>
      </c>
      <c r="E118" s="61">
        <f t="shared" si="12"/>
        <v>0</v>
      </c>
      <c r="F118" s="62">
        <f t="shared" si="19"/>
        <v>200</v>
      </c>
      <c r="G118" s="63">
        <f t="shared" si="13"/>
        <v>270</v>
      </c>
      <c r="H118" s="64">
        <f t="shared" si="14"/>
        <v>0</v>
      </c>
      <c r="I118" s="65">
        <f t="shared" si="15"/>
        <v>0</v>
      </c>
      <c r="J118" s="66">
        <f t="shared" si="16"/>
        <v>270</v>
      </c>
      <c r="K118" s="61">
        <f t="shared" si="17"/>
        <v>200</v>
      </c>
      <c r="L118" s="67">
        <f t="shared" si="18"/>
        <v>0</v>
      </c>
      <c r="M118" s="62">
        <f t="shared" si="20"/>
        <v>516.96149999999989</v>
      </c>
      <c r="N118" s="62">
        <f t="shared" si="21"/>
        <v>1316.9615000000001</v>
      </c>
      <c r="O118" s="62">
        <f t="shared" si="22"/>
        <v>0</v>
      </c>
      <c r="P118" s="62">
        <f t="shared" si="23"/>
        <v>29193.038500000002</v>
      </c>
    </row>
    <row r="119" spans="2:16" ht="15" customHeight="1" x14ac:dyDescent="0.35">
      <c r="B119" s="68">
        <v>114</v>
      </c>
      <c r="C119" s="69">
        <f>'Rainfall Data'!J145</f>
        <v>46136</v>
      </c>
      <c r="D119" s="70">
        <f>'Rainfall Data'!P145</f>
        <v>0</v>
      </c>
      <c r="E119" s="71">
        <f t="shared" si="12"/>
        <v>0</v>
      </c>
      <c r="F119" s="72">
        <f t="shared" si="19"/>
        <v>200</v>
      </c>
      <c r="G119" s="73">
        <f t="shared" si="13"/>
        <v>270</v>
      </c>
      <c r="H119" s="74">
        <f t="shared" si="14"/>
        <v>0</v>
      </c>
      <c r="I119" s="75">
        <f t="shared" si="15"/>
        <v>0</v>
      </c>
      <c r="J119" s="76">
        <f t="shared" si="16"/>
        <v>270</v>
      </c>
      <c r="K119" s="71">
        <f t="shared" si="17"/>
        <v>200</v>
      </c>
      <c r="L119" s="77">
        <f t="shared" si="18"/>
        <v>0</v>
      </c>
      <c r="M119" s="72">
        <f t="shared" si="20"/>
        <v>516.96149999999989</v>
      </c>
      <c r="N119" s="72">
        <f t="shared" si="21"/>
        <v>1316.9615000000001</v>
      </c>
      <c r="O119" s="72">
        <f t="shared" si="22"/>
        <v>0</v>
      </c>
      <c r="P119" s="72">
        <f t="shared" si="23"/>
        <v>29463.038500000002</v>
      </c>
    </row>
    <row r="120" spans="2:16" ht="15" customHeight="1" x14ac:dyDescent="0.35">
      <c r="B120" s="52">
        <v>115</v>
      </c>
      <c r="C120" s="59">
        <f>'Rainfall Data'!J146</f>
        <v>46137</v>
      </c>
      <c r="D120" s="60">
        <f>'Rainfall Data'!P146</f>
        <v>0</v>
      </c>
      <c r="E120" s="61">
        <f t="shared" si="12"/>
        <v>0</v>
      </c>
      <c r="F120" s="62">
        <f t="shared" si="19"/>
        <v>200</v>
      </c>
      <c r="G120" s="63">
        <f t="shared" si="13"/>
        <v>270</v>
      </c>
      <c r="H120" s="64">
        <f t="shared" si="14"/>
        <v>0</v>
      </c>
      <c r="I120" s="65">
        <f t="shared" si="15"/>
        <v>0</v>
      </c>
      <c r="J120" s="66">
        <f t="shared" si="16"/>
        <v>270</v>
      </c>
      <c r="K120" s="61">
        <f t="shared" si="17"/>
        <v>200</v>
      </c>
      <c r="L120" s="67">
        <f t="shared" si="18"/>
        <v>0</v>
      </c>
      <c r="M120" s="62">
        <f t="shared" si="20"/>
        <v>516.96149999999989</v>
      </c>
      <c r="N120" s="62">
        <f t="shared" si="21"/>
        <v>1316.9615000000001</v>
      </c>
      <c r="O120" s="62">
        <f t="shared" si="22"/>
        <v>0</v>
      </c>
      <c r="P120" s="62">
        <f t="shared" si="23"/>
        <v>29733.038500000002</v>
      </c>
    </row>
    <row r="121" spans="2:16" ht="15" customHeight="1" x14ac:dyDescent="0.35">
      <c r="B121" s="68">
        <v>116</v>
      </c>
      <c r="C121" s="69">
        <f>'Rainfall Data'!J147</f>
        <v>46138</v>
      </c>
      <c r="D121" s="70">
        <f>'Rainfall Data'!P147</f>
        <v>0</v>
      </c>
      <c r="E121" s="71">
        <f t="shared" si="12"/>
        <v>0</v>
      </c>
      <c r="F121" s="72">
        <f t="shared" si="19"/>
        <v>200</v>
      </c>
      <c r="G121" s="73">
        <f t="shared" si="13"/>
        <v>270</v>
      </c>
      <c r="H121" s="74">
        <f t="shared" si="14"/>
        <v>0</v>
      </c>
      <c r="I121" s="75">
        <f t="shared" si="15"/>
        <v>0</v>
      </c>
      <c r="J121" s="76">
        <f t="shared" si="16"/>
        <v>270</v>
      </c>
      <c r="K121" s="71">
        <f t="shared" si="17"/>
        <v>200</v>
      </c>
      <c r="L121" s="77">
        <f t="shared" si="18"/>
        <v>0</v>
      </c>
      <c r="M121" s="72">
        <f t="shared" si="20"/>
        <v>516.96149999999989</v>
      </c>
      <c r="N121" s="72">
        <f t="shared" si="21"/>
        <v>1316.9615000000001</v>
      </c>
      <c r="O121" s="72">
        <f t="shared" si="22"/>
        <v>0</v>
      </c>
      <c r="P121" s="72">
        <f t="shared" si="23"/>
        <v>30003.038500000002</v>
      </c>
    </row>
    <row r="122" spans="2:16" ht="15" customHeight="1" x14ac:dyDescent="0.35">
      <c r="B122" s="52">
        <v>117</v>
      </c>
      <c r="C122" s="59">
        <f>'Rainfall Data'!J148</f>
        <v>46139</v>
      </c>
      <c r="D122" s="60">
        <f>'Rainfall Data'!P148</f>
        <v>0</v>
      </c>
      <c r="E122" s="61">
        <f t="shared" si="12"/>
        <v>0</v>
      </c>
      <c r="F122" s="62">
        <f t="shared" si="19"/>
        <v>200</v>
      </c>
      <c r="G122" s="63">
        <f t="shared" si="13"/>
        <v>270</v>
      </c>
      <c r="H122" s="64">
        <f t="shared" si="14"/>
        <v>0</v>
      </c>
      <c r="I122" s="65">
        <f t="shared" si="15"/>
        <v>0</v>
      </c>
      <c r="J122" s="66">
        <f t="shared" si="16"/>
        <v>270</v>
      </c>
      <c r="K122" s="61">
        <f t="shared" si="17"/>
        <v>200</v>
      </c>
      <c r="L122" s="67">
        <f t="shared" si="18"/>
        <v>0</v>
      </c>
      <c r="M122" s="62">
        <f t="shared" si="20"/>
        <v>516.96149999999989</v>
      </c>
      <c r="N122" s="62">
        <f t="shared" si="21"/>
        <v>1316.9615000000001</v>
      </c>
      <c r="O122" s="62">
        <f t="shared" si="22"/>
        <v>0</v>
      </c>
      <c r="P122" s="62">
        <f t="shared" si="23"/>
        <v>30273.038500000002</v>
      </c>
    </row>
    <row r="123" spans="2:16" ht="15" customHeight="1" x14ac:dyDescent="0.35">
      <c r="B123" s="68">
        <v>118</v>
      </c>
      <c r="C123" s="69">
        <f>'Rainfall Data'!J149</f>
        <v>46140</v>
      </c>
      <c r="D123" s="70">
        <f>'Rainfall Data'!P149</f>
        <v>0</v>
      </c>
      <c r="E123" s="71">
        <f t="shared" si="12"/>
        <v>0</v>
      </c>
      <c r="F123" s="72">
        <f t="shared" si="19"/>
        <v>200</v>
      </c>
      <c r="G123" s="73">
        <f t="shared" si="13"/>
        <v>270</v>
      </c>
      <c r="H123" s="74">
        <f t="shared" si="14"/>
        <v>0</v>
      </c>
      <c r="I123" s="75">
        <f t="shared" si="15"/>
        <v>0</v>
      </c>
      <c r="J123" s="76">
        <f t="shared" si="16"/>
        <v>270</v>
      </c>
      <c r="K123" s="71">
        <f t="shared" si="17"/>
        <v>200</v>
      </c>
      <c r="L123" s="77">
        <f t="shared" si="18"/>
        <v>0</v>
      </c>
      <c r="M123" s="72">
        <f t="shared" si="20"/>
        <v>516.96149999999989</v>
      </c>
      <c r="N123" s="72">
        <f t="shared" si="21"/>
        <v>1316.9615000000001</v>
      </c>
      <c r="O123" s="72">
        <f t="shared" si="22"/>
        <v>0</v>
      </c>
      <c r="P123" s="72">
        <f t="shared" si="23"/>
        <v>30543.038500000002</v>
      </c>
    </row>
    <row r="124" spans="2:16" ht="15" customHeight="1" x14ac:dyDescent="0.35">
      <c r="B124" s="52">
        <v>119</v>
      </c>
      <c r="C124" s="59">
        <f>'Rainfall Data'!J150</f>
        <v>46141</v>
      </c>
      <c r="D124" s="60">
        <f>'Rainfall Data'!P150</f>
        <v>0</v>
      </c>
      <c r="E124" s="61">
        <f t="shared" si="12"/>
        <v>0</v>
      </c>
      <c r="F124" s="62">
        <f t="shared" si="19"/>
        <v>200</v>
      </c>
      <c r="G124" s="63">
        <f t="shared" si="13"/>
        <v>270</v>
      </c>
      <c r="H124" s="64">
        <f t="shared" si="14"/>
        <v>0</v>
      </c>
      <c r="I124" s="65">
        <f t="shared" si="15"/>
        <v>0</v>
      </c>
      <c r="J124" s="66">
        <f t="shared" si="16"/>
        <v>270</v>
      </c>
      <c r="K124" s="61">
        <f t="shared" si="17"/>
        <v>200</v>
      </c>
      <c r="L124" s="67">
        <f t="shared" si="18"/>
        <v>0</v>
      </c>
      <c r="M124" s="62">
        <f t="shared" si="20"/>
        <v>516.96149999999989</v>
      </c>
      <c r="N124" s="62">
        <f t="shared" si="21"/>
        <v>1316.9615000000001</v>
      </c>
      <c r="O124" s="62">
        <f t="shared" si="22"/>
        <v>0</v>
      </c>
      <c r="P124" s="62">
        <f t="shared" si="23"/>
        <v>30813.038500000002</v>
      </c>
    </row>
    <row r="125" spans="2:16" ht="15" customHeight="1" x14ac:dyDescent="0.35">
      <c r="B125" s="68">
        <v>120</v>
      </c>
      <c r="C125" s="69">
        <f>'Rainfall Data'!J151</f>
        <v>46142</v>
      </c>
      <c r="D125" s="70">
        <f>'Rainfall Data'!P151</f>
        <v>0</v>
      </c>
      <c r="E125" s="71">
        <f t="shared" si="12"/>
        <v>0</v>
      </c>
      <c r="F125" s="72">
        <f t="shared" si="19"/>
        <v>200</v>
      </c>
      <c r="G125" s="73">
        <f t="shared" si="13"/>
        <v>270</v>
      </c>
      <c r="H125" s="74">
        <f t="shared" si="14"/>
        <v>0</v>
      </c>
      <c r="I125" s="75">
        <f t="shared" si="15"/>
        <v>0</v>
      </c>
      <c r="J125" s="76">
        <f t="shared" si="16"/>
        <v>270</v>
      </c>
      <c r="K125" s="71">
        <f t="shared" si="17"/>
        <v>200</v>
      </c>
      <c r="L125" s="77">
        <f t="shared" si="18"/>
        <v>0</v>
      </c>
      <c r="M125" s="72">
        <f t="shared" si="20"/>
        <v>516.96149999999989</v>
      </c>
      <c r="N125" s="72">
        <f t="shared" si="21"/>
        <v>1316.9615000000001</v>
      </c>
      <c r="O125" s="72">
        <f t="shared" si="22"/>
        <v>0</v>
      </c>
      <c r="P125" s="72">
        <f t="shared" si="23"/>
        <v>31083.038500000002</v>
      </c>
    </row>
    <row r="126" spans="2:16" ht="15" customHeight="1" x14ac:dyDescent="0.35">
      <c r="B126" s="52">
        <v>121</v>
      </c>
      <c r="C126" s="59">
        <f>'Rainfall Data'!J152</f>
        <v>46143</v>
      </c>
      <c r="D126" s="60">
        <f>'Rainfall Data'!P152</f>
        <v>0</v>
      </c>
      <c r="E126" s="61">
        <f t="shared" si="12"/>
        <v>0</v>
      </c>
      <c r="F126" s="62">
        <f t="shared" si="19"/>
        <v>200</v>
      </c>
      <c r="G126" s="63">
        <f t="shared" si="13"/>
        <v>270</v>
      </c>
      <c r="H126" s="64">
        <f t="shared" si="14"/>
        <v>0</v>
      </c>
      <c r="I126" s="65">
        <f t="shared" si="15"/>
        <v>0</v>
      </c>
      <c r="J126" s="66">
        <f t="shared" si="16"/>
        <v>270</v>
      </c>
      <c r="K126" s="61">
        <f t="shared" si="17"/>
        <v>200</v>
      </c>
      <c r="L126" s="67">
        <f t="shared" si="18"/>
        <v>0</v>
      </c>
      <c r="M126" s="62">
        <f t="shared" si="20"/>
        <v>516.96149999999989</v>
      </c>
      <c r="N126" s="62">
        <f t="shared" si="21"/>
        <v>1316.9615000000001</v>
      </c>
      <c r="O126" s="62">
        <f t="shared" si="22"/>
        <v>0</v>
      </c>
      <c r="P126" s="62">
        <f t="shared" si="23"/>
        <v>31353.038500000002</v>
      </c>
    </row>
    <row r="127" spans="2:16" ht="15" customHeight="1" x14ac:dyDescent="0.35">
      <c r="B127" s="68">
        <v>122</v>
      </c>
      <c r="C127" s="69">
        <f>'Rainfall Data'!J153</f>
        <v>46144</v>
      </c>
      <c r="D127" s="70">
        <f>'Rainfall Data'!P153</f>
        <v>0</v>
      </c>
      <c r="E127" s="71">
        <f t="shared" si="12"/>
        <v>0</v>
      </c>
      <c r="F127" s="72">
        <f t="shared" si="19"/>
        <v>200</v>
      </c>
      <c r="G127" s="73">
        <f t="shared" si="13"/>
        <v>270</v>
      </c>
      <c r="H127" s="74">
        <f t="shared" si="14"/>
        <v>0</v>
      </c>
      <c r="I127" s="75">
        <f t="shared" si="15"/>
        <v>0</v>
      </c>
      <c r="J127" s="76">
        <f t="shared" si="16"/>
        <v>270</v>
      </c>
      <c r="K127" s="71">
        <f t="shared" si="17"/>
        <v>200</v>
      </c>
      <c r="L127" s="77">
        <f t="shared" si="18"/>
        <v>0</v>
      </c>
      <c r="M127" s="72">
        <f t="shared" si="20"/>
        <v>516.96149999999989</v>
      </c>
      <c r="N127" s="72">
        <f t="shared" si="21"/>
        <v>1316.9615000000001</v>
      </c>
      <c r="O127" s="72">
        <f t="shared" si="22"/>
        <v>0</v>
      </c>
      <c r="P127" s="72">
        <f t="shared" si="23"/>
        <v>31623.038500000002</v>
      </c>
    </row>
    <row r="128" spans="2:16" ht="15" customHeight="1" x14ac:dyDescent="0.35">
      <c r="B128" s="52">
        <v>123</v>
      </c>
      <c r="C128" s="59">
        <f>'Rainfall Data'!J154</f>
        <v>46145</v>
      </c>
      <c r="D128" s="60">
        <f>'Rainfall Data'!P154</f>
        <v>0</v>
      </c>
      <c r="E128" s="61">
        <f t="shared" si="12"/>
        <v>0</v>
      </c>
      <c r="F128" s="62">
        <f t="shared" si="19"/>
        <v>200</v>
      </c>
      <c r="G128" s="63">
        <f t="shared" si="13"/>
        <v>270</v>
      </c>
      <c r="H128" s="64">
        <f t="shared" si="14"/>
        <v>0</v>
      </c>
      <c r="I128" s="65">
        <f t="shared" si="15"/>
        <v>0</v>
      </c>
      <c r="J128" s="66">
        <f t="shared" si="16"/>
        <v>270</v>
      </c>
      <c r="K128" s="61">
        <f t="shared" si="17"/>
        <v>200</v>
      </c>
      <c r="L128" s="67">
        <f t="shared" si="18"/>
        <v>0</v>
      </c>
      <c r="M128" s="62">
        <f t="shared" si="20"/>
        <v>516.96149999999989</v>
      </c>
      <c r="N128" s="62">
        <f t="shared" si="21"/>
        <v>1316.9615000000001</v>
      </c>
      <c r="O128" s="62">
        <f t="shared" si="22"/>
        <v>0</v>
      </c>
      <c r="P128" s="62">
        <f t="shared" si="23"/>
        <v>31893.038500000002</v>
      </c>
    </row>
    <row r="129" spans="2:16" ht="15" customHeight="1" x14ac:dyDescent="0.35">
      <c r="B129" s="68">
        <v>124</v>
      </c>
      <c r="C129" s="69">
        <f>'Rainfall Data'!J155</f>
        <v>46146</v>
      </c>
      <c r="D129" s="70">
        <f>'Rainfall Data'!P155</f>
        <v>0</v>
      </c>
      <c r="E129" s="71">
        <f t="shared" si="12"/>
        <v>0</v>
      </c>
      <c r="F129" s="72">
        <f t="shared" si="19"/>
        <v>200</v>
      </c>
      <c r="G129" s="73">
        <f t="shared" si="13"/>
        <v>270</v>
      </c>
      <c r="H129" s="74">
        <f t="shared" si="14"/>
        <v>0</v>
      </c>
      <c r="I129" s="75">
        <f t="shared" si="15"/>
        <v>0</v>
      </c>
      <c r="J129" s="76">
        <f t="shared" si="16"/>
        <v>270</v>
      </c>
      <c r="K129" s="71">
        <f t="shared" si="17"/>
        <v>200</v>
      </c>
      <c r="L129" s="77">
        <f t="shared" si="18"/>
        <v>0</v>
      </c>
      <c r="M129" s="72">
        <f t="shared" si="20"/>
        <v>516.96149999999989</v>
      </c>
      <c r="N129" s="72">
        <f t="shared" si="21"/>
        <v>1316.9615000000001</v>
      </c>
      <c r="O129" s="72">
        <f t="shared" si="22"/>
        <v>0</v>
      </c>
      <c r="P129" s="72">
        <f t="shared" si="23"/>
        <v>32163.038500000002</v>
      </c>
    </row>
    <row r="130" spans="2:16" ht="15" customHeight="1" x14ac:dyDescent="0.35">
      <c r="B130" s="52">
        <v>125</v>
      </c>
      <c r="C130" s="59">
        <f>'Rainfall Data'!J156</f>
        <v>46147</v>
      </c>
      <c r="D130" s="60">
        <f>'Rainfall Data'!P156</f>
        <v>0</v>
      </c>
      <c r="E130" s="61">
        <f t="shared" si="12"/>
        <v>0</v>
      </c>
      <c r="F130" s="62">
        <f t="shared" si="19"/>
        <v>200</v>
      </c>
      <c r="G130" s="63">
        <f t="shared" si="13"/>
        <v>270</v>
      </c>
      <c r="H130" s="64">
        <f t="shared" si="14"/>
        <v>0</v>
      </c>
      <c r="I130" s="65">
        <f t="shared" si="15"/>
        <v>0</v>
      </c>
      <c r="J130" s="66">
        <f t="shared" si="16"/>
        <v>270</v>
      </c>
      <c r="K130" s="61">
        <f t="shared" si="17"/>
        <v>200</v>
      </c>
      <c r="L130" s="67">
        <f t="shared" si="18"/>
        <v>0</v>
      </c>
      <c r="M130" s="62">
        <f t="shared" si="20"/>
        <v>516.96149999999989</v>
      </c>
      <c r="N130" s="62">
        <f t="shared" si="21"/>
        <v>1316.9615000000001</v>
      </c>
      <c r="O130" s="62">
        <f t="shared" si="22"/>
        <v>0</v>
      </c>
      <c r="P130" s="62">
        <f t="shared" si="23"/>
        <v>32433.038500000002</v>
      </c>
    </row>
    <row r="131" spans="2:16" ht="15" customHeight="1" x14ac:dyDescent="0.35">
      <c r="B131" s="68">
        <v>126</v>
      </c>
      <c r="C131" s="69">
        <f>'Rainfall Data'!J157</f>
        <v>46148</v>
      </c>
      <c r="D131" s="70">
        <f>'Rainfall Data'!P157</f>
        <v>0</v>
      </c>
      <c r="E131" s="71">
        <f t="shared" si="12"/>
        <v>0</v>
      </c>
      <c r="F131" s="72">
        <f t="shared" si="19"/>
        <v>200</v>
      </c>
      <c r="G131" s="73">
        <f t="shared" si="13"/>
        <v>270</v>
      </c>
      <c r="H131" s="74">
        <f t="shared" si="14"/>
        <v>0</v>
      </c>
      <c r="I131" s="75">
        <f t="shared" si="15"/>
        <v>0</v>
      </c>
      <c r="J131" s="76">
        <f t="shared" si="16"/>
        <v>270</v>
      </c>
      <c r="K131" s="71">
        <f t="shared" si="17"/>
        <v>200</v>
      </c>
      <c r="L131" s="77">
        <f t="shared" si="18"/>
        <v>0</v>
      </c>
      <c r="M131" s="72">
        <f t="shared" si="20"/>
        <v>516.96149999999989</v>
      </c>
      <c r="N131" s="72">
        <f t="shared" si="21"/>
        <v>1316.9615000000001</v>
      </c>
      <c r="O131" s="72">
        <f t="shared" si="22"/>
        <v>0</v>
      </c>
      <c r="P131" s="72">
        <f t="shared" si="23"/>
        <v>32703.038500000002</v>
      </c>
    </row>
    <row r="132" spans="2:16" ht="15" customHeight="1" x14ac:dyDescent="0.35">
      <c r="B132" s="52">
        <v>127</v>
      </c>
      <c r="C132" s="59">
        <f>'Rainfall Data'!J158</f>
        <v>46149</v>
      </c>
      <c r="D132" s="60">
        <f>'Rainfall Data'!P158</f>
        <v>0</v>
      </c>
      <c r="E132" s="61">
        <f t="shared" si="12"/>
        <v>0</v>
      </c>
      <c r="F132" s="62">
        <f t="shared" si="19"/>
        <v>200</v>
      </c>
      <c r="G132" s="63">
        <f t="shared" si="13"/>
        <v>270</v>
      </c>
      <c r="H132" s="64">
        <f t="shared" si="14"/>
        <v>0</v>
      </c>
      <c r="I132" s="65">
        <f t="shared" si="15"/>
        <v>0</v>
      </c>
      <c r="J132" s="66">
        <f t="shared" si="16"/>
        <v>270</v>
      </c>
      <c r="K132" s="61">
        <f t="shared" si="17"/>
        <v>200</v>
      </c>
      <c r="L132" s="67">
        <f t="shared" si="18"/>
        <v>0</v>
      </c>
      <c r="M132" s="62">
        <f t="shared" si="20"/>
        <v>516.96149999999989</v>
      </c>
      <c r="N132" s="62">
        <f t="shared" si="21"/>
        <v>1316.9615000000001</v>
      </c>
      <c r="O132" s="62">
        <f t="shared" si="22"/>
        <v>0</v>
      </c>
      <c r="P132" s="62">
        <f t="shared" si="23"/>
        <v>32973.038500000002</v>
      </c>
    </row>
    <row r="133" spans="2:16" ht="15" customHeight="1" x14ac:dyDescent="0.35">
      <c r="B133" s="68">
        <v>128</v>
      </c>
      <c r="C133" s="69">
        <f>'Rainfall Data'!J159</f>
        <v>46150</v>
      </c>
      <c r="D133" s="70">
        <f>'Rainfall Data'!P159</f>
        <v>0</v>
      </c>
      <c r="E133" s="71">
        <f t="shared" si="12"/>
        <v>0</v>
      </c>
      <c r="F133" s="72">
        <f t="shared" si="19"/>
        <v>200</v>
      </c>
      <c r="G133" s="73">
        <f t="shared" si="13"/>
        <v>270</v>
      </c>
      <c r="H133" s="74">
        <f t="shared" si="14"/>
        <v>0</v>
      </c>
      <c r="I133" s="75">
        <f t="shared" si="15"/>
        <v>0</v>
      </c>
      <c r="J133" s="76">
        <f t="shared" si="16"/>
        <v>270</v>
      </c>
      <c r="K133" s="71">
        <f t="shared" si="17"/>
        <v>200</v>
      </c>
      <c r="L133" s="77">
        <f t="shared" si="18"/>
        <v>0</v>
      </c>
      <c r="M133" s="72">
        <f t="shared" si="20"/>
        <v>516.96149999999989</v>
      </c>
      <c r="N133" s="72">
        <f t="shared" si="21"/>
        <v>1316.9615000000001</v>
      </c>
      <c r="O133" s="72">
        <f t="shared" si="22"/>
        <v>0</v>
      </c>
      <c r="P133" s="72">
        <f t="shared" si="23"/>
        <v>33243.038500000002</v>
      </c>
    </row>
    <row r="134" spans="2:16" ht="15" customHeight="1" x14ac:dyDescent="0.35">
      <c r="B134" s="52">
        <v>129</v>
      </c>
      <c r="C134" s="59">
        <f>'Rainfall Data'!J160</f>
        <v>46151</v>
      </c>
      <c r="D134" s="60">
        <f>'Rainfall Data'!P160</f>
        <v>0</v>
      </c>
      <c r="E134" s="61">
        <f t="shared" ref="E134:E197" si="24">MAX(D134-FirstFlush_mm,0)*RoofArea_m2*CollectionEff</f>
        <v>0</v>
      </c>
      <c r="F134" s="62">
        <f t="shared" si="19"/>
        <v>200</v>
      </c>
      <c r="G134" s="63">
        <f t="shared" ref="G134:G197" si="25">DailyDemand_L</f>
        <v>270</v>
      </c>
      <c r="H134" s="64">
        <f t="shared" ref="H134:H197" si="26">MIN(G134,MAX(F134+E134-DeadStorage_L,0))</f>
        <v>0</v>
      </c>
      <c r="I134" s="65">
        <f t="shared" ref="I134:I197" si="27">MAX(F134+E134-H134-TankCapacity_L,0)</f>
        <v>0</v>
      </c>
      <c r="J134" s="66">
        <f t="shared" ref="J134:J197" si="28">G134-H134</f>
        <v>270</v>
      </c>
      <c r="K134" s="61">
        <f t="shared" ref="K134:K197" si="29">MIN(F134+E134-H134-I134,TankCapacity_L)</f>
        <v>200</v>
      </c>
      <c r="L134" s="67">
        <f t="shared" ref="L134:L197" si="30">IF(D134&gt;0,CollectionEff,0)</f>
        <v>0</v>
      </c>
      <c r="M134" s="62">
        <f t="shared" si="20"/>
        <v>516.96149999999989</v>
      </c>
      <c r="N134" s="62">
        <f t="shared" si="21"/>
        <v>1316.9615000000001</v>
      </c>
      <c r="O134" s="62">
        <f t="shared" si="22"/>
        <v>0</v>
      </c>
      <c r="P134" s="62">
        <f t="shared" si="23"/>
        <v>33513.038500000002</v>
      </c>
    </row>
    <row r="135" spans="2:16" ht="15" customHeight="1" x14ac:dyDescent="0.35">
      <c r="B135" s="68">
        <v>130</v>
      </c>
      <c r="C135" s="69">
        <f>'Rainfall Data'!J161</f>
        <v>46152</v>
      </c>
      <c r="D135" s="70">
        <f>'Rainfall Data'!P161</f>
        <v>0</v>
      </c>
      <c r="E135" s="71">
        <f t="shared" si="24"/>
        <v>0</v>
      </c>
      <c r="F135" s="72">
        <f t="shared" ref="F135:F198" si="31">K134</f>
        <v>200</v>
      </c>
      <c r="G135" s="73">
        <f t="shared" si="25"/>
        <v>270</v>
      </c>
      <c r="H135" s="74">
        <f t="shared" si="26"/>
        <v>0</v>
      </c>
      <c r="I135" s="75">
        <f t="shared" si="27"/>
        <v>0</v>
      </c>
      <c r="J135" s="76">
        <f t="shared" si="28"/>
        <v>270</v>
      </c>
      <c r="K135" s="71">
        <f t="shared" si="29"/>
        <v>200</v>
      </c>
      <c r="L135" s="77">
        <f t="shared" si="30"/>
        <v>0</v>
      </c>
      <c r="M135" s="72">
        <f t="shared" ref="M135:M198" si="32">M134+E135</f>
        <v>516.96149999999989</v>
      </c>
      <c r="N135" s="72">
        <f t="shared" ref="N135:N198" si="33">N134+H135</f>
        <v>1316.9615000000001</v>
      </c>
      <c r="O135" s="72">
        <f t="shared" ref="O135:O198" si="34">O134+I135</f>
        <v>0</v>
      </c>
      <c r="P135" s="72">
        <f t="shared" ref="P135:P198" si="35">P134+J135</f>
        <v>33783.038500000002</v>
      </c>
    </row>
    <row r="136" spans="2:16" ht="15" customHeight="1" x14ac:dyDescent="0.35">
      <c r="B136" s="52">
        <v>131</v>
      </c>
      <c r="C136" s="59">
        <f>'Rainfall Data'!J162</f>
        <v>46153</v>
      </c>
      <c r="D136" s="60">
        <f>'Rainfall Data'!P162</f>
        <v>0</v>
      </c>
      <c r="E136" s="61">
        <f t="shared" si="24"/>
        <v>0</v>
      </c>
      <c r="F136" s="62">
        <f t="shared" si="31"/>
        <v>200</v>
      </c>
      <c r="G136" s="63">
        <f t="shared" si="25"/>
        <v>270</v>
      </c>
      <c r="H136" s="64">
        <f t="shared" si="26"/>
        <v>0</v>
      </c>
      <c r="I136" s="65">
        <f t="shared" si="27"/>
        <v>0</v>
      </c>
      <c r="J136" s="66">
        <f t="shared" si="28"/>
        <v>270</v>
      </c>
      <c r="K136" s="61">
        <f t="shared" si="29"/>
        <v>200</v>
      </c>
      <c r="L136" s="67">
        <f t="shared" si="30"/>
        <v>0</v>
      </c>
      <c r="M136" s="62">
        <f t="shared" si="32"/>
        <v>516.96149999999989</v>
      </c>
      <c r="N136" s="62">
        <f t="shared" si="33"/>
        <v>1316.9615000000001</v>
      </c>
      <c r="O136" s="62">
        <f t="shared" si="34"/>
        <v>0</v>
      </c>
      <c r="P136" s="62">
        <f t="shared" si="35"/>
        <v>34053.038500000002</v>
      </c>
    </row>
    <row r="137" spans="2:16" ht="15" customHeight="1" x14ac:dyDescent="0.35">
      <c r="B137" s="68">
        <v>132</v>
      </c>
      <c r="C137" s="69">
        <f>'Rainfall Data'!J163</f>
        <v>46154</v>
      </c>
      <c r="D137" s="70">
        <f>'Rainfall Data'!P163</f>
        <v>0</v>
      </c>
      <c r="E137" s="71">
        <f t="shared" si="24"/>
        <v>0</v>
      </c>
      <c r="F137" s="72">
        <f t="shared" si="31"/>
        <v>200</v>
      </c>
      <c r="G137" s="73">
        <f t="shared" si="25"/>
        <v>270</v>
      </c>
      <c r="H137" s="74">
        <f t="shared" si="26"/>
        <v>0</v>
      </c>
      <c r="I137" s="75">
        <f t="shared" si="27"/>
        <v>0</v>
      </c>
      <c r="J137" s="76">
        <f t="shared" si="28"/>
        <v>270</v>
      </c>
      <c r="K137" s="71">
        <f t="shared" si="29"/>
        <v>200</v>
      </c>
      <c r="L137" s="77">
        <f t="shared" si="30"/>
        <v>0</v>
      </c>
      <c r="M137" s="72">
        <f t="shared" si="32"/>
        <v>516.96149999999989</v>
      </c>
      <c r="N137" s="72">
        <f t="shared" si="33"/>
        <v>1316.9615000000001</v>
      </c>
      <c r="O137" s="72">
        <f t="shared" si="34"/>
        <v>0</v>
      </c>
      <c r="P137" s="72">
        <f t="shared" si="35"/>
        <v>34323.038500000002</v>
      </c>
    </row>
    <row r="138" spans="2:16" ht="15" customHeight="1" x14ac:dyDescent="0.35">
      <c r="B138" s="52">
        <v>133</v>
      </c>
      <c r="C138" s="59">
        <f>'Rainfall Data'!J164</f>
        <v>46155</v>
      </c>
      <c r="D138" s="60">
        <f>'Rainfall Data'!P164</f>
        <v>0</v>
      </c>
      <c r="E138" s="61">
        <f t="shared" si="24"/>
        <v>0</v>
      </c>
      <c r="F138" s="62">
        <f t="shared" si="31"/>
        <v>200</v>
      </c>
      <c r="G138" s="63">
        <f t="shared" si="25"/>
        <v>270</v>
      </c>
      <c r="H138" s="64">
        <f t="shared" si="26"/>
        <v>0</v>
      </c>
      <c r="I138" s="65">
        <f t="shared" si="27"/>
        <v>0</v>
      </c>
      <c r="J138" s="66">
        <f t="shared" si="28"/>
        <v>270</v>
      </c>
      <c r="K138" s="61">
        <f t="shared" si="29"/>
        <v>200</v>
      </c>
      <c r="L138" s="67">
        <f t="shared" si="30"/>
        <v>0</v>
      </c>
      <c r="M138" s="62">
        <f t="shared" si="32"/>
        <v>516.96149999999989</v>
      </c>
      <c r="N138" s="62">
        <f t="shared" si="33"/>
        <v>1316.9615000000001</v>
      </c>
      <c r="O138" s="62">
        <f t="shared" si="34"/>
        <v>0</v>
      </c>
      <c r="P138" s="62">
        <f t="shared" si="35"/>
        <v>34593.038500000002</v>
      </c>
    </row>
    <row r="139" spans="2:16" ht="15" customHeight="1" x14ac:dyDescent="0.35">
      <c r="B139" s="68">
        <v>134</v>
      </c>
      <c r="C139" s="69">
        <f>'Rainfall Data'!J165</f>
        <v>46156</v>
      </c>
      <c r="D139" s="70">
        <f>'Rainfall Data'!P165</f>
        <v>0</v>
      </c>
      <c r="E139" s="71">
        <f t="shared" si="24"/>
        <v>0</v>
      </c>
      <c r="F139" s="72">
        <f t="shared" si="31"/>
        <v>200</v>
      </c>
      <c r="G139" s="73">
        <f t="shared" si="25"/>
        <v>270</v>
      </c>
      <c r="H139" s="74">
        <f t="shared" si="26"/>
        <v>0</v>
      </c>
      <c r="I139" s="75">
        <f t="shared" si="27"/>
        <v>0</v>
      </c>
      <c r="J139" s="76">
        <f t="shared" si="28"/>
        <v>270</v>
      </c>
      <c r="K139" s="71">
        <f t="shared" si="29"/>
        <v>200</v>
      </c>
      <c r="L139" s="77">
        <f t="shared" si="30"/>
        <v>0</v>
      </c>
      <c r="M139" s="72">
        <f t="shared" si="32"/>
        <v>516.96149999999989</v>
      </c>
      <c r="N139" s="72">
        <f t="shared" si="33"/>
        <v>1316.9615000000001</v>
      </c>
      <c r="O139" s="72">
        <f t="shared" si="34"/>
        <v>0</v>
      </c>
      <c r="P139" s="72">
        <f t="shared" si="35"/>
        <v>34863.038500000002</v>
      </c>
    </row>
    <row r="140" spans="2:16" ht="15" customHeight="1" x14ac:dyDescent="0.35">
      <c r="B140" s="52">
        <v>135</v>
      </c>
      <c r="C140" s="59">
        <f>'Rainfall Data'!J166</f>
        <v>46157</v>
      </c>
      <c r="D140" s="60">
        <f>'Rainfall Data'!P166</f>
        <v>0</v>
      </c>
      <c r="E140" s="61">
        <f t="shared" si="24"/>
        <v>0</v>
      </c>
      <c r="F140" s="62">
        <f t="shared" si="31"/>
        <v>200</v>
      </c>
      <c r="G140" s="63">
        <f t="shared" si="25"/>
        <v>270</v>
      </c>
      <c r="H140" s="64">
        <f t="shared" si="26"/>
        <v>0</v>
      </c>
      <c r="I140" s="65">
        <f t="shared" si="27"/>
        <v>0</v>
      </c>
      <c r="J140" s="66">
        <f t="shared" si="28"/>
        <v>270</v>
      </c>
      <c r="K140" s="61">
        <f t="shared" si="29"/>
        <v>200</v>
      </c>
      <c r="L140" s="67">
        <f t="shared" si="30"/>
        <v>0</v>
      </c>
      <c r="M140" s="62">
        <f t="shared" si="32"/>
        <v>516.96149999999989</v>
      </c>
      <c r="N140" s="62">
        <f t="shared" si="33"/>
        <v>1316.9615000000001</v>
      </c>
      <c r="O140" s="62">
        <f t="shared" si="34"/>
        <v>0</v>
      </c>
      <c r="P140" s="62">
        <f t="shared" si="35"/>
        <v>35133.038500000002</v>
      </c>
    </row>
    <row r="141" spans="2:16" ht="15" customHeight="1" x14ac:dyDescent="0.35">
      <c r="B141" s="68">
        <v>136</v>
      </c>
      <c r="C141" s="69">
        <f>'Rainfall Data'!J167</f>
        <v>46158</v>
      </c>
      <c r="D141" s="70">
        <f>'Rainfall Data'!P167</f>
        <v>0</v>
      </c>
      <c r="E141" s="71">
        <f t="shared" si="24"/>
        <v>0</v>
      </c>
      <c r="F141" s="72">
        <f t="shared" si="31"/>
        <v>200</v>
      </c>
      <c r="G141" s="73">
        <f t="shared" si="25"/>
        <v>270</v>
      </c>
      <c r="H141" s="74">
        <f t="shared" si="26"/>
        <v>0</v>
      </c>
      <c r="I141" s="75">
        <f t="shared" si="27"/>
        <v>0</v>
      </c>
      <c r="J141" s="76">
        <f t="shared" si="28"/>
        <v>270</v>
      </c>
      <c r="K141" s="71">
        <f t="shared" si="29"/>
        <v>200</v>
      </c>
      <c r="L141" s="77">
        <f t="shared" si="30"/>
        <v>0</v>
      </c>
      <c r="M141" s="72">
        <f t="shared" si="32"/>
        <v>516.96149999999989</v>
      </c>
      <c r="N141" s="72">
        <f t="shared" si="33"/>
        <v>1316.9615000000001</v>
      </c>
      <c r="O141" s="72">
        <f t="shared" si="34"/>
        <v>0</v>
      </c>
      <c r="P141" s="72">
        <f t="shared" si="35"/>
        <v>35403.038500000002</v>
      </c>
    </row>
    <row r="142" spans="2:16" ht="15" customHeight="1" x14ac:dyDescent="0.35">
      <c r="B142" s="52">
        <v>137</v>
      </c>
      <c r="C142" s="59">
        <f>'Rainfall Data'!J168</f>
        <v>46159</v>
      </c>
      <c r="D142" s="60">
        <f>'Rainfall Data'!P168</f>
        <v>0</v>
      </c>
      <c r="E142" s="61">
        <f t="shared" si="24"/>
        <v>0</v>
      </c>
      <c r="F142" s="62">
        <f t="shared" si="31"/>
        <v>200</v>
      </c>
      <c r="G142" s="63">
        <f t="shared" si="25"/>
        <v>270</v>
      </c>
      <c r="H142" s="64">
        <f t="shared" si="26"/>
        <v>0</v>
      </c>
      <c r="I142" s="65">
        <f t="shared" si="27"/>
        <v>0</v>
      </c>
      <c r="J142" s="66">
        <f t="shared" si="28"/>
        <v>270</v>
      </c>
      <c r="K142" s="61">
        <f t="shared" si="29"/>
        <v>200</v>
      </c>
      <c r="L142" s="67">
        <f t="shared" si="30"/>
        <v>0</v>
      </c>
      <c r="M142" s="62">
        <f t="shared" si="32"/>
        <v>516.96149999999989</v>
      </c>
      <c r="N142" s="62">
        <f t="shared" si="33"/>
        <v>1316.9615000000001</v>
      </c>
      <c r="O142" s="62">
        <f t="shared" si="34"/>
        <v>0</v>
      </c>
      <c r="P142" s="62">
        <f t="shared" si="35"/>
        <v>35673.038500000002</v>
      </c>
    </row>
    <row r="143" spans="2:16" ht="15" customHeight="1" x14ac:dyDescent="0.35">
      <c r="B143" s="68">
        <v>138</v>
      </c>
      <c r="C143" s="69">
        <f>'Rainfall Data'!J169</f>
        <v>46160</v>
      </c>
      <c r="D143" s="70">
        <f>'Rainfall Data'!P169</f>
        <v>0</v>
      </c>
      <c r="E143" s="71">
        <f t="shared" si="24"/>
        <v>0</v>
      </c>
      <c r="F143" s="72">
        <f t="shared" si="31"/>
        <v>200</v>
      </c>
      <c r="G143" s="73">
        <f t="shared" si="25"/>
        <v>270</v>
      </c>
      <c r="H143" s="74">
        <f t="shared" si="26"/>
        <v>0</v>
      </c>
      <c r="I143" s="75">
        <f t="shared" si="27"/>
        <v>0</v>
      </c>
      <c r="J143" s="76">
        <f t="shared" si="28"/>
        <v>270</v>
      </c>
      <c r="K143" s="71">
        <f t="shared" si="29"/>
        <v>200</v>
      </c>
      <c r="L143" s="77">
        <f t="shared" si="30"/>
        <v>0</v>
      </c>
      <c r="M143" s="72">
        <f t="shared" si="32"/>
        <v>516.96149999999989</v>
      </c>
      <c r="N143" s="72">
        <f t="shared" si="33"/>
        <v>1316.9615000000001</v>
      </c>
      <c r="O143" s="72">
        <f t="shared" si="34"/>
        <v>0</v>
      </c>
      <c r="P143" s="72">
        <f t="shared" si="35"/>
        <v>35943.038500000002</v>
      </c>
    </row>
    <row r="144" spans="2:16" ht="15" customHeight="1" x14ac:dyDescent="0.35">
      <c r="B144" s="52">
        <v>139</v>
      </c>
      <c r="C144" s="59">
        <f>'Rainfall Data'!J170</f>
        <v>46161</v>
      </c>
      <c r="D144" s="60">
        <f>'Rainfall Data'!P170</f>
        <v>0</v>
      </c>
      <c r="E144" s="61">
        <f t="shared" si="24"/>
        <v>0</v>
      </c>
      <c r="F144" s="62">
        <f t="shared" si="31"/>
        <v>200</v>
      </c>
      <c r="G144" s="63">
        <f t="shared" si="25"/>
        <v>270</v>
      </c>
      <c r="H144" s="64">
        <f t="shared" si="26"/>
        <v>0</v>
      </c>
      <c r="I144" s="65">
        <f t="shared" si="27"/>
        <v>0</v>
      </c>
      <c r="J144" s="66">
        <f t="shared" si="28"/>
        <v>270</v>
      </c>
      <c r="K144" s="61">
        <f t="shared" si="29"/>
        <v>200</v>
      </c>
      <c r="L144" s="67">
        <f t="shared" si="30"/>
        <v>0</v>
      </c>
      <c r="M144" s="62">
        <f t="shared" si="32"/>
        <v>516.96149999999989</v>
      </c>
      <c r="N144" s="62">
        <f t="shared" si="33"/>
        <v>1316.9615000000001</v>
      </c>
      <c r="O144" s="62">
        <f t="shared" si="34"/>
        <v>0</v>
      </c>
      <c r="P144" s="62">
        <f t="shared" si="35"/>
        <v>36213.038500000002</v>
      </c>
    </row>
    <row r="145" spans="2:16" ht="15" customHeight="1" x14ac:dyDescent="0.35">
      <c r="B145" s="68">
        <v>140</v>
      </c>
      <c r="C145" s="69">
        <f>'Rainfall Data'!J171</f>
        <v>46162</v>
      </c>
      <c r="D145" s="70">
        <f>'Rainfall Data'!P171</f>
        <v>0</v>
      </c>
      <c r="E145" s="71">
        <f t="shared" si="24"/>
        <v>0</v>
      </c>
      <c r="F145" s="72">
        <f t="shared" si="31"/>
        <v>200</v>
      </c>
      <c r="G145" s="73">
        <f t="shared" si="25"/>
        <v>270</v>
      </c>
      <c r="H145" s="74">
        <f t="shared" si="26"/>
        <v>0</v>
      </c>
      <c r="I145" s="75">
        <f t="shared" si="27"/>
        <v>0</v>
      </c>
      <c r="J145" s="76">
        <f t="shared" si="28"/>
        <v>270</v>
      </c>
      <c r="K145" s="71">
        <f t="shared" si="29"/>
        <v>200</v>
      </c>
      <c r="L145" s="77">
        <f t="shared" si="30"/>
        <v>0</v>
      </c>
      <c r="M145" s="72">
        <f t="shared" si="32"/>
        <v>516.96149999999989</v>
      </c>
      <c r="N145" s="72">
        <f t="shared" si="33"/>
        <v>1316.9615000000001</v>
      </c>
      <c r="O145" s="72">
        <f t="shared" si="34"/>
        <v>0</v>
      </c>
      <c r="P145" s="72">
        <f t="shared" si="35"/>
        <v>36483.038500000002</v>
      </c>
    </row>
    <row r="146" spans="2:16" ht="15" customHeight="1" x14ac:dyDescent="0.35">
      <c r="B146" s="52">
        <v>141</v>
      </c>
      <c r="C146" s="59">
        <f>'Rainfall Data'!J172</f>
        <v>46163</v>
      </c>
      <c r="D146" s="60">
        <f>'Rainfall Data'!P172</f>
        <v>0</v>
      </c>
      <c r="E146" s="61">
        <f t="shared" si="24"/>
        <v>0</v>
      </c>
      <c r="F146" s="62">
        <f t="shared" si="31"/>
        <v>200</v>
      </c>
      <c r="G146" s="63">
        <f t="shared" si="25"/>
        <v>270</v>
      </c>
      <c r="H146" s="64">
        <f t="shared" si="26"/>
        <v>0</v>
      </c>
      <c r="I146" s="65">
        <f t="shared" si="27"/>
        <v>0</v>
      </c>
      <c r="J146" s="66">
        <f t="shared" si="28"/>
        <v>270</v>
      </c>
      <c r="K146" s="61">
        <f t="shared" si="29"/>
        <v>200</v>
      </c>
      <c r="L146" s="67">
        <f t="shared" si="30"/>
        <v>0</v>
      </c>
      <c r="M146" s="62">
        <f t="shared" si="32"/>
        <v>516.96149999999989</v>
      </c>
      <c r="N146" s="62">
        <f t="shared" si="33"/>
        <v>1316.9615000000001</v>
      </c>
      <c r="O146" s="62">
        <f t="shared" si="34"/>
        <v>0</v>
      </c>
      <c r="P146" s="62">
        <f t="shared" si="35"/>
        <v>36753.038500000002</v>
      </c>
    </row>
    <row r="147" spans="2:16" ht="15" customHeight="1" x14ac:dyDescent="0.35">
      <c r="B147" s="68">
        <v>142</v>
      </c>
      <c r="C147" s="69">
        <f>'Rainfall Data'!J173</f>
        <v>46164</v>
      </c>
      <c r="D147" s="70">
        <f>'Rainfall Data'!P173</f>
        <v>0</v>
      </c>
      <c r="E147" s="71">
        <f t="shared" si="24"/>
        <v>0</v>
      </c>
      <c r="F147" s="72">
        <f t="shared" si="31"/>
        <v>200</v>
      </c>
      <c r="G147" s="73">
        <f t="shared" si="25"/>
        <v>270</v>
      </c>
      <c r="H147" s="74">
        <f t="shared" si="26"/>
        <v>0</v>
      </c>
      <c r="I147" s="75">
        <f t="shared" si="27"/>
        <v>0</v>
      </c>
      <c r="J147" s="76">
        <f t="shared" si="28"/>
        <v>270</v>
      </c>
      <c r="K147" s="71">
        <f t="shared" si="29"/>
        <v>200</v>
      </c>
      <c r="L147" s="77">
        <f t="shared" si="30"/>
        <v>0</v>
      </c>
      <c r="M147" s="72">
        <f t="shared" si="32"/>
        <v>516.96149999999989</v>
      </c>
      <c r="N147" s="72">
        <f t="shared" si="33"/>
        <v>1316.9615000000001</v>
      </c>
      <c r="O147" s="72">
        <f t="shared" si="34"/>
        <v>0</v>
      </c>
      <c r="P147" s="72">
        <f t="shared" si="35"/>
        <v>37023.038500000002</v>
      </c>
    </row>
    <row r="148" spans="2:16" ht="15" customHeight="1" x14ac:dyDescent="0.35">
      <c r="B148" s="52">
        <v>143</v>
      </c>
      <c r="C148" s="59">
        <f>'Rainfall Data'!J174</f>
        <v>46165</v>
      </c>
      <c r="D148" s="60">
        <f>'Rainfall Data'!P174</f>
        <v>0</v>
      </c>
      <c r="E148" s="61">
        <f t="shared" si="24"/>
        <v>0</v>
      </c>
      <c r="F148" s="62">
        <f t="shared" si="31"/>
        <v>200</v>
      </c>
      <c r="G148" s="63">
        <f t="shared" si="25"/>
        <v>270</v>
      </c>
      <c r="H148" s="64">
        <f t="shared" si="26"/>
        <v>0</v>
      </c>
      <c r="I148" s="65">
        <f t="shared" si="27"/>
        <v>0</v>
      </c>
      <c r="J148" s="66">
        <f t="shared" si="28"/>
        <v>270</v>
      </c>
      <c r="K148" s="61">
        <f t="shared" si="29"/>
        <v>200</v>
      </c>
      <c r="L148" s="67">
        <f t="shared" si="30"/>
        <v>0</v>
      </c>
      <c r="M148" s="62">
        <f t="shared" si="32"/>
        <v>516.96149999999989</v>
      </c>
      <c r="N148" s="62">
        <f t="shared" si="33"/>
        <v>1316.9615000000001</v>
      </c>
      <c r="O148" s="62">
        <f t="shared" si="34"/>
        <v>0</v>
      </c>
      <c r="P148" s="62">
        <f t="shared" si="35"/>
        <v>37293.038500000002</v>
      </c>
    </row>
    <row r="149" spans="2:16" ht="15" customHeight="1" x14ac:dyDescent="0.35">
      <c r="B149" s="68">
        <v>144</v>
      </c>
      <c r="C149" s="69">
        <f>'Rainfall Data'!J175</f>
        <v>46166</v>
      </c>
      <c r="D149" s="70">
        <f>'Rainfall Data'!P175</f>
        <v>0</v>
      </c>
      <c r="E149" s="71">
        <f t="shared" si="24"/>
        <v>0</v>
      </c>
      <c r="F149" s="72">
        <f t="shared" si="31"/>
        <v>200</v>
      </c>
      <c r="G149" s="73">
        <f t="shared" si="25"/>
        <v>270</v>
      </c>
      <c r="H149" s="74">
        <f t="shared" si="26"/>
        <v>0</v>
      </c>
      <c r="I149" s="75">
        <f t="shared" si="27"/>
        <v>0</v>
      </c>
      <c r="J149" s="76">
        <f t="shared" si="28"/>
        <v>270</v>
      </c>
      <c r="K149" s="71">
        <f t="shared" si="29"/>
        <v>200</v>
      </c>
      <c r="L149" s="77">
        <f t="shared" si="30"/>
        <v>0</v>
      </c>
      <c r="M149" s="72">
        <f t="shared" si="32"/>
        <v>516.96149999999989</v>
      </c>
      <c r="N149" s="72">
        <f t="shared" si="33"/>
        <v>1316.9615000000001</v>
      </c>
      <c r="O149" s="72">
        <f t="shared" si="34"/>
        <v>0</v>
      </c>
      <c r="P149" s="72">
        <f t="shared" si="35"/>
        <v>37563.038500000002</v>
      </c>
    </row>
    <row r="150" spans="2:16" ht="15" customHeight="1" x14ac:dyDescent="0.35">
      <c r="B150" s="52">
        <v>145</v>
      </c>
      <c r="C150" s="59">
        <f>'Rainfall Data'!J176</f>
        <v>46167</v>
      </c>
      <c r="D150" s="60">
        <f>'Rainfall Data'!P176</f>
        <v>0</v>
      </c>
      <c r="E150" s="61">
        <f t="shared" si="24"/>
        <v>0</v>
      </c>
      <c r="F150" s="62">
        <f t="shared" si="31"/>
        <v>200</v>
      </c>
      <c r="G150" s="63">
        <f t="shared" si="25"/>
        <v>270</v>
      </c>
      <c r="H150" s="64">
        <f t="shared" si="26"/>
        <v>0</v>
      </c>
      <c r="I150" s="65">
        <f t="shared" si="27"/>
        <v>0</v>
      </c>
      <c r="J150" s="66">
        <f t="shared" si="28"/>
        <v>270</v>
      </c>
      <c r="K150" s="61">
        <f t="shared" si="29"/>
        <v>200</v>
      </c>
      <c r="L150" s="67">
        <f t="shared" si="30"/>
        <v>0</v>
      </c>
      <c r="M150" s="62">
        <f t="shared" si="32"/>
        <v>516.96149999999989</v>
      </c>
      <c r="N150" s="62">
        <f t="shared" si="33"/>
        <v>1316.9615000000001</v>
      </c>
      <c r="O150" s="62">
        <f t="shared" si="34"/>
        <v>0</v>
      </c>
      <c r="P150" s="62">
        <f t="shared" si="35"/>
        <v>37833.038500000002</v>
      </c>
    </row>
    <row r="151" spans="2:16" ht="15" customHeight="1" x14ac:dyDescent="0.35">
      <c r="B151" s="68">
        <v>146</v>
      </c>
      <c r="C151" s="69">
        <f>'Rainfall Data'!J177</f>
        <v>46168</v>
      </c>
      <c r="D151" s="70">
        <f>'Rainfall Data'!P177</f>
        <v>0</v>
      </c>
      <c r="E151" s="71">
        <f t="shared" si="24"/>
        <v>0</v>
      </c>
      <c r="F151" s="72">
        <f t="shared" si="31"/>
        <v>200</v>
      </c>
      <c r="G151" s="73">
        <f t="shared" si="25"/>
        <v>270</v>
      </c>
      <c r="H151" s="74">
        <f t="shared" si="26"/>
        <v>0</v>
      </c>
      <c r="I151" s="75">
        <f t="shared" si="27"/>
        <v>0</v>
      </c>
      <c r="J151" s="76">
        <f t="shared" si="28"/>
        <v>270</v>
      </c>
      <c r="K151" s="71">
        <f t="shared" si="29"/>
        <v>200</v>
      </c>
      <c r="L151" s="77">
        <f t="shared" si="30"/>
        <v>0</v>
      </c>
      <c r="M151" s="72">
        <f t="shared" si="32"/>
        <v>516.96149999999989</v>
      </c>
      <c r="N151" s="72">
        <f t="shared" si="33"/>
        <v>1316.9615000000001</v>
      </c>
      <c r="O151" s="72">
        <f t="shared" si="34"/>
        <v>0</v>
      </c>
      <c r="P151" s="72">
        <f t="shared" si="35"/>
        <v>38103.038500000002</v>
      </c>
    </row>
    <row r="152" spans="2:16" ht="15" customHeight="1" x14ac:dyDescent="0.35">
      <c r="B152" s="52">
        <v>147</v>
      </c>
      <c r="C152" s="59">
        <f>'Rainfall Data'!J178</f>
        <v>46169</v>
      </c>
      <c r="D152" s="60">
        <f>'Rainfall Data'!P178</f>
        <v>0</v>
      </c>
      <c r="E152" s="61">
        <f t="shared" si="24"/>
        <v>0</v>
      </c>
      <c r="F152" s="62">
        <f t="shared" si="31"/>
        <v>200</v>
      </c>
      <c r="G152" s="63">
        <f t="shared" si="25"/>
        <v>270</v>
      </c>
      <c r="H152" s="64">
        <f t="shared" si="26"/>
        <v>0</v>
      </c>
      <c r="I152" s="65">
        <f t="shared" si="27"/>
        <v>0</v>
      </c>
      <c r="J152" s="66">
        <f t="shared" si="28"/>
        <v>270</v>
      </c>
      <c r="K152" s="61">
        <f t="shared" si="29"/>
        <v>200</v>
      </c>
      <c r="L152" s="67">
        <f t="shared" si="30"/>
        <v>0</v>
      </c>
      <c r="M152" s="62">
        <f t="shared" si="32"/>
        <v>516.96149999999989</v>
      </c>
      <c r="N152" s="62">
        <f t="shared" si="33"/>
        <v>1316.9615000000001</v>
      </c>
      <c r="O152" s="62">
        <f t="shared" si="34"/>
        <v>0</v>
      </c>
      <c r="P152" s="62">
        <f t="shared" si="35"/>
        <v>38373.038500000002</v>
      </c>
    </row>
    <row r="153" spans="2:16" ht="15" customHeight="1" x14ac:dyDescent="0.35">
      <c r="B153" s="68">
        <v>148</v>
      </c>
      <c r="C153" s="69">
        <f>'Rainfall Data'!J179</f>
        <v>46170</v>
      </c>
      <c r="D153" s="70">
        <f>'Rainfall Data'!P179</f>
        <v>0</v>
      </c>
      <c r="E153" s="71">
        <f t="shared" si="24"/>
        <v>0</v>
      </c>
      <c r="F153" s="72">
        <f t="shared" si="31"/>
        <v>200</v>
      </c>
      <c r="G153" s="73">
        <f t="shared" si="25"/>
        <v>270</v>
      </c>
      <c r="H153" s="74">
        <f t="shared" si="26"/>
        <v>0</v>
      </c>
      <c r="I153" s="75">
        <f t="shared" si="27"/>
        <v>0</v>
      </c>
      <c r="J153" s="76">
        <f t="shared" si="28"/>
        <v>270</v>
      </c>
      <c r="K153" s="71">
        <f t="shared" si="29"/>
        <v>200</v>
      </c>
      <c r="L153" s="77">
        <f t="shared" si="30"/>
        <v>0</v>
      </c>
      <c r="M153" s="72">
        <f t="shared" si="32"/>
        <v>516.96149999999989</v>
      </c>
      <c r="N153" s="72">
        <f t="shared" si="33"/>
        <v>1316.9615000000001</v>
      </c>
      <c r="O153" s="72">
        <f t="shared" si="34"/>
        <v>0</v>
      </c>
      <c r="P153" s="72">
        <f t="shared" si="35"/>
        <v>38643.038500000002</v>
      </c>
    </row>
    <row r="154" spans="2:16" ht="15" customHeight="1" x14ac:dyDescent="0.35">
      <c r="B154" s="52">
        <v>149</v>
      </c>
      <c r="C154" s="59">
        <f>'Rainfall Data'!J180</f>
        <v>46171</v>
      </c>
      <c r="D154" s="60">
        <f>'Rainfall Data'!P180</f>
        <v>0</v>
      </c>
      <c r="E154" s="61">
        <f t="shared" si="24"/>
        <v>0</v>
      </c>
      <c r="F154" s="62">
        <f t="shared" si="31"/>
        <v>200</v>
      </c>
      <c r="G154" s="63">
        <f t="shared" si="25"/>
        <v>270</v>
      </c>
      <c r="H154" s="64">
        <f t="shared" si="26"/>
        <v>0</v>
      </c>
      <c r="I154" s="65">
        <f t="shared" si="27"/>
        <v>0</v>
      </c>
      <c r="J154" s="66">
        <f t="shared" si="28"/>
        <v>270</v>
      </c>
      <c r="K154" s="61">
        <f t="shared" si="29"/>
        <v>200</v>
      </c>
      <c r="L154" s="67">
        <f t="shared" si="30"/>
        <v>0</v>
      </c>
      <c r="M154" s="62">
        <f t="shared" si="32"/>
        <v>516.96149999999989</v>
      </c>
      <c r="N154" s="62">
        <f t="shared" si="33"/>
        <v>1316.9615000000001</v>
      </c>
      <c r="O154" s="62">
        <f t="shared" si="34"/>
        <v>0</v>
      </c>
      <c r="P154" s="62">
        <f t="shared" si="35"/>
        <v>38913.038500000002</v>
      </c>
    </row>
    <row r="155" spans="2:16" ht="15" customHeight="1" x14ac:dyDescent="0.35">
      <c r="B155" s="68">
        <v>150</v>
      </c>
      <c r="C155" s="69">
        <f>'Rainfall Data'!J181</f>
        <v>46172</v>
      </c>
      <c r="D155" s="70">
        <f>'Rainfall Data'!P181</f>
        <v>0</v>
      </c>
      <c r="E155" s="71">
        <f t="shared" si="24"/>
        <v>0</v>
      </c>
      <c r="F155" s="72">
        <f t="shared" si="31"/>
        <v>200</v>
      </c>
      <c r="G155" s="73">
        <f t="shared" si="25"/>
        <v>270</v>
      </c>
      <c r="H155" s="74">
        <f t="shared" si="26"/>
        <v>0</v>
      </c>
      <c r="I155" s="75">
        <f t="shared" si="27"/>
        <v>0</v>
      </c>
      <c r="J155" s="76">
        <f t="shared" si="28"/>
        <v>270</v>
      </c>
      <c r="K155" s="71">
        <f t="shared" si="29"/>
        <v>200</v>
      </c>
      <c r="L155" s="77">
        <f t="shared" si="30"/>
        <v>0</v>
      </c>
      <c r="M155" s="72">
        <f t="shared" si="32"/>
        <v>516.96149999999989</v>
      </c>
      <c r="N155" s="72">
        <f t="shared" si="33"/>
        <v>1316.9615000000001</v>
      </c>
      <c r="O155" s="72">
        <f t="shared" si="34"/>
        <v>0</v>
      </c>
      <c r="P155" s="72">
        <f t="shared" si="35"/>
        <v>39183.038500000002</v>
      </c>
    </row>
    <row r="156" spans="2:16" ht="15" customHeight="1" x14ac:dyDescent="0.35">
      <c r="B156" s="52">
        <v>151</v>
      </c>
      <c r="C156" s="59">
        <f>'Rainfall Data'!J182</f>
        <v>46173</v>
      </c>
      <c r="D156" s="60">
        <f>'Rainfall Data'!P182</f>
        <v>0</v>
      </c>
      <c r="E156" s="61">
        <f t="shared" si="24"/>
        <v>0</v>
      </c>
      <c r="F156" s="62">
        <f t="shared" si="31"/>
        <v>200</v>
      </c>
      <c r="G156" s="63">
        <f t="shared" si="25"/>
        <v>270</v>
      </c>
      <c r="H156" s="64">
        <f t="shared" si="26"/>
        <v>0</v>
      </c>
      <c r="I156" s="65">
        <f t="shared" si="27"/>
        <v>0</v>
      </c>
      <c r="J156" s="66">
        <f t="shared" si="28"/>
        <v>270</v>
      </c>
      <c r="K156" s="61">
        <f t="shared" si="29"/>
        <v>200</v>
      </c>
      <c r="L156" s="67">
        <f t="shared" si="30"/>
        <v>0</v>
      </c>
      <c r="M156" s="62">
        <f t="shared" si="32"/>
        <v>516.96149999999989</v>
      </c>
      <c r="N156" s="62">
        <f t="shared" si="33"/>
        <v>1316.9615000000001</v>
      </c>
      <c r="O156" s="62">
        <f t="shared" si="34"/>
        <v>0</v>
      </c>
      <c r="P156" s="62">
        <f t="shared" si="35"/>
        <v>39453.038500000002</v>
      </c>
    </row>
    <row r="157" spans="2:16" ht="15" customHeight="1" x14ac:dyDescent="0.35">
      <c r="B157" s="68">
        <v>152</v>
      </c>
      <c r="C157" s="69">
        <f>'Rainfall Data'!J183</f>
        <v>46174</v>
      </c>
      <c r="D157" s="70">
        <f>'Rainfall Data'!P183</f>
        <v>0</v>
      </c>
      <c r="E157" s="71">
        <f t="shared" si="24"/>
        <v>0</v>
      </c>
      <c r="F157" s="72">
        <f t="shared" si="31"/>
        <v>200</v>
      </c>
      <c r="G157" s="73">
        <f t="shared" si="25"/>
        <v>270</v>
      </c>
      <c r="H157" s="74">
        <f t="shared" si="26"/>
        <v>0</v>
      </c>
      <c r="I157" s="75">
        <f t="shared" si="27"/>
        <v>0</v>
      </c>
      <c r="J157" s="76">
        <f t="shared" si="28"/>
        <v>270</v>
      </c>
      <c r="K157" s="71">
        <f t="shared" si="29"/>
        <v>200</v>
      </c>
      <c r="L157" s="77">
        <f t="shared" si="30"/>
        <v>0</v>
      </c>
      <c r="M157" s="72">
        <f t="shared" si="32"/>
        <v>516.96149999999989</v>
      </c>
      <c r="N157" s="72">
        <f t="shared" si="33"/>
        <v>1316.9615000000001</v>
      </c>
      <c r="O157" s="72">
        <f t="shared" si="34"/>
        <v>0</v>
      </c>
      <c r="P157" s="72">
        <f t="shared" si="35"/>
        <v>39723.038500000002</v>
      </c>
    </row>
    <row r="158" spans="2:16" ht="15" customHeight="1" x14ac:dyDescent="0.35">
      <c r="B158" s="52">
        <v>153</v>
      </c>
      <c r="C158" s="59">
        <f>'Rainfall Data'!J184</f>
        <v>46175</v>
      </c>
      <c r="D158" s="60">
        <f>'Rainfall Data'!P184</f>
        <v>0</v>
      </c>
      <c r="E158" s="61">
        <f t="shared" si="24"/>
        <v>0</v>
      </c>
      <c r="F158" s="62">
        <f t="shared" si="31"/>
        <v>200</v>
      </c>
      <c r="G158" s="63">
        <f t="shared" si="25"/>
        <v>270</v>
      </c>
      <c r="H158" s="64">
        <f t="shared" si="26"/>
        <v>0</v>
      </c>
      <c r="I158" s="65">
        <f t="shared" si="27"/>
        <v>0</v>
      </c>
      <c r="J158" s="66">
        <f t="shared" si="28"/>
        <v>270</v>
      </c>
      <c r="K158" s="61">
        <f t="shared" si="29"/>
        <v>200</v>
      </c>
      <c r="L158" s="67">
        <f t="shared" si="30"/>
        <v>0</v>
      </c>
      <c r="M158" s="62">
        <f t="shared" si="32"/>
        <v>516.96149999999989</v>
      </c>
      <c r="N158" s="62">
        <f t="shared" si="33"/>
        <v>1316.9615000000001</v>
      </c>
      <c r="O158" s="62">
        <f t="shared" si="34"/>
        <v>0</v>
      </c>
      <c r="P158" s="62">
        <f t="shared" si="35"/>
        <v>39993.038500000002</v>
      </c>
    </row>
    <row r="159" spans="2:16" ht="15" customHeight="1" x14ac:dyDescent="0.35">
      <c r="B159" s="68">
        <v>154</v>
      </c>
      <c r="C159" s="69">
        <f>'Rainfall Data'!J185</f>
        <v>46176</v>
      </c>
      <c r="D159" s="70">
        <f>'Rainfall Data'!P185</f>
        <v>0</v>
      </c>
      <c r="E159" s="71">
        <f t="shared" si="24"/>
        <v>0</v>
      </c>
      <c r="F159" s="72">
        <f t="shared" si="31"/>
        <v>200</v>
      </c>
      <c r="G159" s="73">
        <f t="shared" si="25"/>
        <v>270</v>
      </c>
      <c r="H159" s="74">
        <f t="shared" si="26"/>
        <v>0</v>
      </c>
      <c r="I159" s="75">
        <f t="shared" si="27"/>
        <v>0</v>
      </c>
      <c r="J159" s="76">
        <f t="shared" si="28"/>
        <v>270</v>
      </c>
      <c r="K159" s="71">
        <f t="shared" si="29"/>
        <v>200</v>
      </c>
      <c r="L159" s="77">
        <f t="shared" si="30"/>
        <v>0</v>
      </c>
      <c r="M159" s="72">
        <f t="shared" si="32"/>
        <v>516.96149999999989</v>
      </c>
      <c r="N159" s="72">
        <f t="shared" si="33"/>
        <v>1316.9615000000001</v>
      </c>
      <c r="O159" s="72">
        <f t="shared" si="34"/>
        <v>0</v>
      </c>
      <c r="P159" s="72">
        <f t="shared" si="35"/>
        <v>40263.038500000002</v>
      </c>
    </row>
    <row r="160" spans="2:16" ht="15" customHeight="1" x14ac:dyDescent="0.35">
      <c r="B160" s="52">
        <v>155</v>
      </c>
      <c r="C160" s="59">
        <f>'Rainfall Data'!J186</f>
        <v>46177</v>
      </c>
      <c r="D160" s="60">
        <f>'Rainfall Data'!P186</f>
        <v>0</v>
      </c>
      <c r="E160" s="61">
        <f t="shared" si="24"/>
        <v>0</v>
      </c>
      <c r="F160" s="62">
        <f t="shared" si="31"/>
        <v>200</v>
      </c>
      <c r="G160" s="63">
        <f t="shared" si="25"/>
        <v>270</v>
      </c>
      <c r="H160" s="64">
        <f t="shared" si="26"/>
        <v>0</v>
      </c>
      <c r="I160" s="65">
        <f t="shared" si="27"/>
        <v>0</v>
      </c>
      <c r="J160" s="66">
        <f t="shared" si="28"/>
        <v>270</v>
      </c>
      <c r="K160" s="61">
        <f t="shared" si="29"/>
        <v>200</v>
      </c>
      <c r="L160" s="67">
        <f t="shared" si="30"/>
        <v>0</v>
      </c>
      <c r="M160" s="62">
        <f t="shared" si="32"/>
        <v>516.96149999999989</v>
      </c>
      <c r="N160" s="62">
        <f t="shared" si="33"/>
        <v>1316.9615000000001</v>
      </c>
      <c r="O160" s="62">
        <f t="shared" si="34"/>
        <v>0</v>
      </c>
      <c r="P160" s="62">
        <f t="shared" si="35"/>
        <v>40533.038500000002</v>
      </c>
    </row>
    <row r="161" spans="2:16" ht="15" customHeight="1" x14ac:dyDescent="0.35">
      <c r="B161" s="68">
        <v>156</v>
      </c>
      <c r="C161" s="69">
        <f>'Rainfall Data'!J187</f>
        <v>46178</v>
      </c>
      <c r="D161" s="70">
        <f>'Rainfall Data'!P187</f>
        <v>0</v>
      </c>
      <c r="E161" s="71">
        <f t="shared" si="24"/>
        <v>0</v>
      </c>
      <c r="F161" s="72">
        <f t="shared" si="31"/>
        <v>200</v>
      </c>
      <c r="G161" s="73">
        <f t="shared" si="25"/>
        <v>270</v>
      </c>
      <c r="H161" s="74">
        <f t="shared" si="26"/>
        <v>0</v>
      </c>
      <c r="I161" s="75">
        <f t="shared" si="27"/>
        <v>0</v>
      </c>
      <c r="J161" s="76">
        <f t="shared" si="28"/>
        <v>270</v>
      </c>
      <c r="K161" s="71">
        <f t="shared" si="29"/>
        <v>200</v>
      </c>
      <c r="L161" s="77">
        <f t="shared" si="30"/>
        <v>0</v>
      </c>
      <c r="M161" s="72">
        <f t="shared" si="32"/>
        <v>516.96149999999989</v>
      </c>
      <c r="N161" s="72">
        <f t="shared" si="33"/>
        <v>1316.9615000000001</v>
      </c>
      <c r="O161" s="72">
        <f t="shared" si="34"/>
        <v>0</v>
      </c>
      <c r="P161" s="72">
        <f t="shared" si="35"/>
        <v>40803.038500000002</v>
      </c>
    </row>
    <row r="162" spans="2:16" ht="15" customHeight="1" x14ac:dyDescent="0.35">
      <c r="B162" s="52">
        <v>157</v>
      </c>
      <c r="C162" s="59">
        <f>'Rainfall Data'!J188</f>
        <v>46179</v>
      </c>
      <c r="D162" s="60">
        <f>'Rainfall Data'!P188</f>
        <v>0</v>
      </c>
      <c r="E162" s="61">
        <f t="shared" si="24"/>
        <v>0</v>
      </c>
      <c r="F162" s="62">
        <f t="shared" si="31"/>
        <v>200</v>
      </c>
      <c r="G162" s="63">
        <f t="shared" si="25"/>
        <v>270</v>
      </c>
      <c r="H162" s="64">
        <f t="shared" si="26"/>
        <v>0</v>
      </c>
      <c r="I162" s="65">
        <f t="shared" si="27"/>
        <v>0</v>
      </c>
      <c r="J162" s="66">
        <f t="shared" si="28"/>
        <v>270</v>
      </c>
      <c r="K162" s="61">
        <f t="shared" si="29"/>
        <v>200</v>
      </c>
      <c r="L162" s="67">
        <f t="shared" si="30"/>
        <v>0</v>
      </c>
      <c r="M162" s="62">
        <f t="shared" si="32"/>
        <v>516.96149999999989</v>
      </c>
      <c r="N162" s="62">
        <f t="shared" si="33"/>
        <v>1316.9615000000001</v>
      </c>
      <c r="O162" s="62">
        <f t="shared" si="34"/>
        <v>0</v>
      </c>
      <c r="P162" s="62">
        <f t="shared" si="35"/>
        <v>41073.038500000002</v>
      </c>
    </row>
    <row r="163" spans="2:16" ht="15" customHeight="1" x14ac:dyDescent="0.35">
      <c r="B163" s="68">
        <v>158</v>
      </c>
      <c r="C163" s="69">
        <f>'Rainfall Data'!J189</f>
        <v>46180</v>
      </c>
      <c r="D163" s="70">
        <f>'Rainfall Data'!P189</f>
        <v>0</v>
      </c>
      <c r="E163" s="71">
        <f t="shared" si="24"/>
        <v>0</v>
      </c>
      <c r="F163" s="72">
        <f t="shared" si="31"/>
        <v>200</v>
      </c>
      <c r="G163" s="73">
        <f t="shared" si="25"/>
        <v>270</v>
      </c>
      <c r="H163" s="74">
        <f t="shared" si="26"/>
        <v>0</v>
      </c>
      <c r="I163" s="75">
        <f t="shared" si="27"/>
        <v>0</v>
      </c>
      <c r="J163" s="76">
        <f t="shared" si="28"/>
        <v>270</v>
      </c>
      <c r="K163" s="71">
        <f t="shared" si="29"/>
        <v>200</v>
      </c>
      <c r="L163" s="77">
        <f t="shared" si="30"/>
        <v>0</v>
      </c>
      <c r="M163" s="72">
        <f t="shared" si="32"/>
        <v>516.96149999999989</v>
      </c>
      <c r="N163" s="72">
        <f t="shared" si="33"/>
        <v>1316.9615000000001</v>
      </c>
      <c r="O163" s="72">
        <f t="shared" si="34"/>
        <v>0</v>
      </c>
      <c r="P163" s="72">
        <f t="shared" si="35"/>
        <v>41343.038500000002</v>
      </c>
    </row>
    <row r="164" spans="2:16" ht="15" customHeight="1" x14ac:dyDescent="0.35">
      <c r="B164" s="52">
        <v>159</v>
      </c>
      <c r="C164" s="59">
        <f>'Rainfall Data'!J190</f>
        <v>46181</v>
      </c>
      <c r="D164" s="60">
        <f>'Rainfall Data'!P190</f>
        <v>0</v>
      </c>
      <c r="E164" s="61">
        <f t="shared" si="24"/>
        <v>0</v>
      </c>
      <c r="F164" s="62">
        <f t="shared" si="31"/>
        <v>200</v>
      </c>
      <c r="G164" s="63">
        <f t="shared" si="25"/>
        <v>270</v>
      </c>
      <c r="H164" s="64">
        <f t="shared" si="26"/>
        <v>0</v>
      </c>
      <c r="I164" s="65">
        <f t="shared" si="27"/>
        <v>0</v>
      </c>
      <c r="J164" s="66">
        <f t="shared" si="28"/>
        <v>270</v>
      </c>
      <c r="K164" s="61">
        <f t="shared" si="29"/>
        <v>200</v>
      </c>
      <c r="L164" s="67">
        <f t="shared" si="30"/>
        <v>0</v>
      </c>
      <c r="M164" s="62">
        <f t="shared" si="32"/>
        <v>516.96149999999989</v>
      </c>
      <c r="N164" s="62">
        <f t="shared" si="33"/>
        <v>1316.9615000000001</v>
      </c>
      <c r="O164" s="62">
        <f t="shared" si="34"/>
        <v>0</v>
      </c>
      <c r="P164" s="62">
        <f t="shared" si="35"/>
        <v>41613.038500000002</v>
      </c>
    </row>
    <row r="165" spans="2:16" ht="15" customHeight="1" x14ac:dyDescent="0.35">
      <c r="B165" s="68">
        <v>160</v>
      </c>
      <c r="C165" s="69">
        <f>'Rainfall Data'!J191</f>
        <v>46182</v>
      </c>
      <c r="D165" s="70">
        <f>'Rainfall Data'!P191</f>
        <v>0</v>
      </c>
      <c r="E165" s="71">
        <f t="shared" si="24"/>
        <v>0</v>
      </c>
      <c r="F165" s="72">
        <f t="shared" si="31"/>
        <v>200</v>
      </c>
      <c r="G165" s="73">
        <f t="shared" si="25"/>
        <v>270</v>
      </c>
      <c r="H165" s="74">
        <f t="shared" si="26"/>
        <v>0</v>
      </c>
      <c r="I165" s="75">
        <f t="shared" si="27"/>
        <v>0</v>
      </c>
      <c r="J165" s="76">
        <f t="shared" si="28"/>
        <v>270</v>
      </c>
      <c r="K165" s="71">
        <f t="shared" si="29"/>
        <v>200</v>
      </c>
      <c r="L165" s="77">
        <f t="shared" si="30"/>
        <v>0</v>
      </c>
      <c r="M165" s="72">
        <f t="shared" si="32"/>
        <v>516.96149999999989</v>
      </c>
      <c r="N165" s="72">
        <f t="shared" si="33"/>
        <v>1316.9615000000001</v>
      </c>
      <c r="O165" s="72">
        <f t="shared" si="34"/>
        <v>0</v>
      </c>
      <c r="P165" s="72">
        <f t="shared" si="35"/>
        <v>41883.038500000002</v>
      </c>
    </row>
    <row r="166" spans="2:16" ht="15" customHeight="1" x14ac:dyDescent="0.35">
      <c r="B166" s="52">
        <v>161</v>
      </c>
      <c r="C166" s="59">
        <f>'Rainfall Data'!J192</f>
        <v>46183</v>
      </c>
      <c r="D166" s="60">
        <f>'Rainfall Data'!P192</f>
        <v>1.5</v>
      </c>
      <c r="E166" s="61">
        <f t="shared" si="24"/>
        <v>86.160249999999991</v>
      </c>
      <c r="F166" s="62">
        <f t="shared" si="31"/>
        <v>200</v>
      </c>
      <c r="G166" s="63">
        <f t="shared" si="25"/>
        <v>270</v>
      </c>
      <c r="H166" s="64">
        <f t="shared" si="26"/>
        <v>86.160250000000019</v>
      </c>
      <c r="I166" s="65">
        <f t="shared" si="27"/>
        <v>0</v>
      </c>
      <c r="J166" s="66">
        <f t="shared" si="28"/>
        <v>183.83974999999998</v>
      </c>
      <c r="K166" s="61">
        <f t="shared" si="29"/>
        <v>200</v>
      </c>
      <c r="L166" s="67">
        <f t="shared" si="30"/>
        <v>0.78327499999999994</v>
      </c>
      <c r="M166" s="62">
        <f t="shared" si="32"/>
        <v>603.12174999999991</v>
      </c>
      <c r="N166" s="62">
        <f t="shared" si="33"/>
        <v>1403.1217500000002</v>
      </c>
      <c r="O166" s="62">
        <f t="shared" si="34"/>
        <v>0</v>
      </c>
      <c r="P166" s="62">
        <f t="shared" si="35"/>
        <v>42066.878250000002</v>
      </c>
    </row>
    <row r="167" spans="2:16" ht="15" customHeight="1" x14ac:dyDescent="0.35">
      <c r="B167" s="68">
        <v>162</v>
      </c>
      <c r="C167" s="69">
        <f>'Rainfall Data'!J193</f>
        <v>46184</v>
      </c>
      <c r="D167" s="70">
        <f>'Rainfall Data'!P193</f>
        <v>0</v>
      </c>
      <c r="E167" s="71">
        <f t="shared" si="24"/>
        <v>0</v>
      </c>
      <c r="F167" s="72">
        <f t="shared" si="31"/>
        <v>200</v>
      </c>
      <c r="G167" s="73">
        <f t="shared" si="25"/>
        <v>270</v>
      </c>
      <c r="H167" s="74">
        <f t="shared" si="26"/>
        <v>0</v>
      </c>
      <c r="I167" s="75">
        <f t="shared" si="27"/>
        <v>0</v>
      </c>
      <c r="J167" s="76">
        <f t="shared" si="28"/>
        <v>270</v>
      </c>
      <c r="K167" s="71">
        <f t="shared" si="29"/>
        <v>200</v>
      </c>
      <c r="L167" s="77">
        <f t="shared" si="30"/>
        <v>0</v>
      </c>
      <c r="M167" s="72">
        <f t="shared" si="32"/>
        <v>603.12174999999991</v>
      </c>
      <c r="N167" s="72">
        <f t="shared" si="33"/>
        <v>1403.1217500000002</v>
      </c>
      <c r="O167" s="72">
        <f t="shared" si="34"/>
        <v>0</v>
      </c>
      <c r="P167" s="72">
        <f t="shared" si="35"/>
        <v>42336.878250000002</v>
      </c>
    </row>
    <row r="168" spans="2:16" ht="15" customHeight="1" x14ac:dyDescent="0.35">
      <c r="B168" s="52">
        <v>163</v>
      </c>
      <c r="C168" s="59">
        <f>'Rainfall Data'!J194</f>
        <v>46185</v>
      </c>
      <c r="D168" s="60">
        <f>'Rainfall Data'!P194</f>
        <v>0</v>
      </c>
      <c r="E168" s="61">
        <f t="shared" si="24"/>
        <v>0</v>
      </c>
      <c r="F168" s="62">
        <f t="shared" si="31"/>
        <v>200</v>
      </c>
      <c r="G168" s="63">
        <f t="shared" si="25"/>
        <v>270</v>
      </c>
      <c r="H168" s="64">
        <f t="shared" si="26"/>
        <v>0</v>
      </c>
      <c r="I168" s="65">
        <f t="shared" si="27"/>
        <v>0</v>
      </c>
      <c r="J168" s="66">
        <f t="shared" si="28"/>
        <v>270</v>
      </c>
      <c r="K168" s="61">
        <f t="shared" si="29"/>
        <v>200</v>
      </c>
      <c r="L168" s="67">
        <f t="shared" si="30"/>
        <v>0</v>
      </c>
      <c r="M168" s="62">
        <f t="shared" si="32"/>
        <v>603.12174999999991</v>
      </c>
      <c r="N168" s="62">
        <f t="shared" si="33"/>
        <v>1403.1217500000002</v>
      </c>
      <c r="O168" s="62">
        <f t="shared" si="34"/>
        <v>0</v>
      </c>
      <c r="P168" s="62">
        <f t="shared" si="35"/>
        <v>42606.878250000002</v>
      </c>
    </row>
    <row r="169" spans="2:16" ht="15" customHeight="1" x14ac:dyDescent="0.35">
      <c r="B169" s="68">
        <v>164</v>
      </c>
      <c r="C169" s="69">
        <f>'Rainfall Data'!J195</f>
        <v>46186</v>
      </c>
      <c r="D169" s="70">
        <f>'Rainfall Data'!P195</f>
        <v>0</v>
      </c>
      <c r="E169" s="71">
        <f t="shared" si="24"/>
        <v>0</v>
      </c>
      <c r="F169" s="72">
        <f t="shared" si="31"/>
        <v>200</v>
      </c>
      <c r="G169" s="73">
        <f t="shared" si="25"/>
        <v>270</v>
      </c>
      <c r="H169" s="74">
        <f t="shared" si="26"/>
        <v>0</v>
      </c>
      <c r="I169" s="75">
        <f t="shared" si="27"/>
        <v>0</v>
      </c>
      <c r="J169" s="76">
        <f t="shared" si="28"/>
        <v>270</v>
      </c>
      <c r="K169" s="71">
        <f t="shared" si="29"/>
        <v>200</v>
      </c>
      <c r="L169" s="77">
        <f t="shared" si="30"/>
        <v>0</v>
      </c>
      <c r="M169" s="72">
        <f t="shared" si="32"/>
        <v>603.12174999999991</v>
      </c>
      <c r="N169" s="72">
        <f t="shared" si="33"/>
        <v>1403.1217500000002</v>
      </c>
      <c r="O169" s="72">
        <f t="shared" si="34"/>
        <v>0</v>
      </c>
      <c r="P169" s="72">
        <f t="shared" si="35"/>
        <v>42876.878250000002</v>
      </c>
    </row>
    <row r="170" spans="2:16" ht="15" customHeight="1" x14ac:dyDescent="0.35">
      <c r="B170" s="52">
        <v>165</v>
      </c>
      <c r="C170" s="59">
        <f>'Rainfall Data'!J196</f>
        <v>46187</v>
      </c>
      <c r="D170" s="60">
        <f>'Rainfall Data'!P196</f>
        <v>0</v>
      </c>
      <c r="E170" s="61">
        <f t="shared" si="24"/>
        <v>0</v>
      </c>
      <c r="F170" s="62">
        <f t="shared" si="31"/>
        <v>200</v>
      </c>
      <c r="G170" s="63">
        <f t="shared" si="25"/>
        <v>270</v>
      </c>
      <c r="H170" s="64">
        <f t="shared" si="26"/>
        <v>0</v>
      </c>
      <c r="I170" s="65">
        <f t="shared" si="27"/>
        <v>0</v>
      </c>
      <c r="J170" s="66">
        <f t="shared" si="28"/>
        <v>270</v>
      </c>
      <c r="K170" s="61">
        <f t="shared" si="29"/>
        <v>200</v>
      </c>
      <c r="L170" s="67">
        <f t="shared" si="30"/>
        <v>0</v>
      </c>
      <c r="M170" s="62">
        <f t="shared" si="32"/>
        <v>603.12174999999991</v>
      </c>
      <c r="N170" s="62">
        <f t="shared" si="33"/>
        <v>1403.1217500000002</v>
      </c>
      <c r="O170" s="62">
        <f t="shared" si="34"/>
        <v>0</v>
      </c>
      <c r="P170" s="62">
        <f t="shared" si="35"/>
        <v>43146.878250000002</v>
      </c>
    </row>
    <row r="171" spans="2:16" ht="15" customHeight="1" x14ac:dyDescent="0.35">
      <c r="B171" s="68">
        <v>166</v>
      </c>
      <c r="C171" s="69">
        <f>'Rainfall Data'!J197</f>
        <v>46188</v>
      </c>
      <c r="D171" s="70">
        <f>'Rainfall Data'!P197</f>
        <v>0</v>
      </c>
      <c r="E171" s="71">
        <f t="shared" si="24"/>
        <v>0</v>
      </c>
      <c r="F171" s="72">
        <f t="shared" si="31"/>
        <v>200</v>
      </c>
      <c r="G171" s="73">
        <f t="shared" si="25"/>
        <v>270</v>
      </c>
      <c r="H171" s="74">
        <f t="shared" si="26"/>
        <v>0</v>
      </c>
      <c r="I171" s="75">
        <f t="shared" si="27"/>
        <v>0</v>
      </c>
      <c r="J171" s="76">
        <f t="shared" si="28"/>
        <v>270</v>
      </c>
      <c r="K171" s="71">
        <f t="shared" si="29"/>
        <v>200</v>
      </c>
      <c r="L171" s="77">
        <f t="shared" si="30"/>
        <v>0</v>
      </c>
      <c r="M171" s="72">
        <f t="shared" si="32"/>
        <v>603.12174999999991</v>
      </c>
      <c r="N171" s="72">
        <f t="shared" si="33"/>
        <v>1403.1217500000002</v>
      </c>
      <c r="O171" s="72">
        <f t="shared" si="34"/>
        <v>0</v>
      </c>
      <c r="P171" s="72">
        <f t="shared" si="35"/>
        <v>43416.878250000002</v>
      </c>
    </row>
    <row r="172" spans="2:16" ht="15" customHeight="1" x14ac:dyDescent="0.35">
      <c r="B172" s="52">
        <v>167</v>
      </c>
      <c r="C172" s="59">
        <f>'Rainfall Data'!J198</f>
        <v>46189</v>
      </c>
      <c r="D172" s="60">
        <f>'Rainfall Data'!P198</f>
        <v>0</v>
      </c>
      <c r="E172" s="61">
        <f t="shared" si="24"/>
        <v>0</v>
      </c>
      <c r="F172" s="62">
        <f t="shared" si="31"/>
        <v>200</v>
      </c>
      <c r="G172" s="63">
        <f t="shared" si="25"/>
        <v>270</v>
      </c>
      <c r="H172" s="64">
        <f t="shared" si="26"/>
        <v>0</v>
      </c>
      <c r="I172" s="65">
        <f t="shared" si="27"/>
        <v>0</v>
      </c>
      <c r="J172" s="66">
        <f t="shared" si="28"/>
        <v>270</v>
      </c>
      <c r="K172" s="61">
        <f t="shared" si="29"/>
        <v>200</v>
      </c>
      <c r="L172" s="67">
        <f t="shared" si="30"/>
        <v>0</v>
      </c>
      <c r="M172" s="62">
        <f t="shared" si="32"/>
        <v>603.12174999999991</v>
      </c>
      <c r="N172" s="62">
        <f t="shared" si="33"/>
        <v>1403.1217500000002</v>
      </c>
      <c r="O172" s="62">
        <f t="shared" si="34"/>
        <v>0</v>
      </c>
      <c r="P172" s="62">
        <f t="shared" si="35"/>
        <v>43686.878250000002</v>
      </c>
    </row>
    <row r="173" spans="2:16" ht="15" customHeight="1" x14ac:dyDescent="0.35">
      <c r="B173" s="68">
        <v>168</v>
      </c>
      <c r="C173" s="69">
        <f>'Rainfall Data'!J199</f>
        <v>46190</v>
      </c>
      <c r="D173" s="70">
        <f>'Rainfall Data'!P199</f>
        <v>0</v>
      </c>
      <c r="E173" s="71">
        <f t="shared" si="24"/>
        <v>0</v>
      </c>
      <c r="F173" s="72">
        <f t="shared" si="31"/>
        <v>200</v>
      </c>
      <c r="G173" s="73">
        <f t="shared" si="25"/>
        <v>270</v>
      </c>
      <c r="H173" s="74">
        <f t="shared" si="26"/>
        <v>0</v>
      </c>
      <c r="I173" s="75">
        <f t="shared" si="27"/>
        <v>0</v>
      </c>
      <c r="J173" s="76">
        <f t="shared" si="28"/>
        <v>270</v>
      </c>
      <c r="K173" s="71">
        <f t="shared" si="29"/>
        <v>200</v>
      </c>
      <c r="L173" s="77">
        <f t="shared" si="30"/>
        <v>0</v>
      </c>
      <c r="M173" s="72">
        <f t="shared" si="32"/>
        <v>603.12174999999991</v>
      </c>
      <c r="N173" s="72">
        <f t="shared" si="33"/>
        <v>1403.1217500000002</v>
      </c>
      <c r="O173" s="72">
        <f t="shared" si="34"/>
        <v>0</v>
      </c>
      <c r="P173" s="72">
        <f t="shared" si="35"/>
        <v>43956.878250000002</v>
      </c>
    </row>
    <row r="174" spans="2:16" ht="15" customHeight="1" x14ac:dyDescent="0.35">
      <c r="B174" s="52">
        <v>169</v>
      </c>
      <c r="C174" s="59">
        <f>'Rainfall Data'!J200</f>
        <v>46191</v>
      </c>
      <c r="D174" s="60">
        <f>'Rainfall Data'!P200</f>
        <v>0</v>
      </c>
      <c r="E174" s="61">
        <f t="shared" si="24"/>
        <v>0</v>
      </c>
      <c r="F174" s="62">
        <f t="shared" si="31"/>
        <v>200</v>
      </c>
      <c r="G174" s="63">
        <f t="shared" si="25"/>
        <v>270</v>
      </c>
      <c r="H174" s="64">
        <f t="shared" si="26"/>
        <v>0</v>
      </c>
      <c r="I174" s="65">
        <f t="shared" si="27"/>
        <v>0</v>
      </c>
      <c r="J174" s="66">
        <f t="shared" si="28"/>
        <v>270</v>
      </c>
      <c r="K174" s="61">
        <f t="shared" si="29"/>
        <v>200</v>
      </c>
      <c r="L174" s="67">
        <f t="shared" si="30"/>
        <v>0</v>
      </c>
      <c r="M174" s="62">
        <f t="shared" si="32"/>
        <v>603.12174999999991</v>
      </c>
      <c r="N174" s="62">
        <f t="shared" si="33"/>
        <v>1403.1217500000002</v>
      </c>
      <c r="O174" s="62">
        <f t="shared" si="34"/>
        <v>0</v>
      </c>
      <c r="P174" s="62">
        <f t="shared" si="35"/>
        <v>44226.878250000002</v>
      </c>
    </row>
    <row r="175" spans="2:16" ht="15" customHeight="1" x14ac:dyDescent="0.35">
      <c r="B175" s="68">
        <v>170</v>
      </c>
      <c r="C175" s="69">
        <f>'Rainfall Data'!J201</f>
        <v>46192</v>
      </c>
      <c r="D175" s="70">
        <f>'Rainfall Data'!P201</f>
        <v>0</v>
      </c>
      <c r="E175" s="71">
        <f t="shared" si="24"/>
        <v>0</v>
      </c>
      <c r="F175" s="72">
        <f t="shared" si="31"/>
        <v>200</v>
      </c>
      <c r="G175" s="73">
        <f t="shared" si="25"/>
        <v>270</v>
      </c>
      <c r="H175" s="74">
        <f t="shared" si="26"/>
        <v>0</v>
      </c>
      <c r="I175" s="75">
        <f t="shared" si="27"/>
        <v>0</v>
      </c>
      <c r="J175" s="76">
        <f t="shared" si="28"/>
        <v>270</v>
      </c>
      <c r="K175" s="71">
        <f t="shared" si="29"/>
        <v>200</v>
      </c>
      <c r="L175" s="77">
        <f t="shared" si="30"/>
        <v>0</v>
      </c>
      <c r="M175" s="72">
        <f t="shared" si="32"/>
        <v>603.12174999999991</v>
      </c>
      <c r="N175" s="72">
        <f t="shared" si="33"/>
        <v>1403.1217500000002</v>
      </c>
      <c r="O175" s="72">
        <f t="shared" si="34"/>
        <v>0</v>
      </c>
      <c r="P175" s="72">
        <f t="shared" si="35"/>
        <v>44496.878250000002</v>
      </c>
    </row>
    <row r="176" spans="2:16" ht="15" customHeight="1" x14ac:dyDescent="0.35">
      <c r="B176" s="52">
        <v>171</v>
      </c>
      <c r="C176" s="59">
        <f>'Rainfall Data'!J202</f>
        <v>46193</v>
      </c>
      <c r="D176" s="60">
        <f>'Rainfall Data'!P202</f>
        <v>1.5</v>
      </c>
      <c r="E176" s="61">
        <f t="shared" si="24"/>
        <v>86.160249999999991</v>
      </c>
      <c r="F176" s="62">
        <f t="shared" si="31"/>
        <v>200</v>
      </c>
      <c r="G176" s="63">
        <f t="shared" si="25"/>
        <v>270</v>
      </c>
      <c r="H176" s="64">
        <f t="shared" si="26"/>
        <v>86.160250000000019</v>
      </c>
      <c r="I176" s="65">
        <f t="shared" si="27"/>
        <v>0</v>
      </c>
      <c r="J176" s="66">
        <f t="shared" si="28"/>
        <v>183.83974999999998</v>
      </c>
      <c r="K176" s="61">
        <f t="shared" si="29"/>
        <v>200</v>
      </c>
      <c r="L176" s="67">
        <f t="shared" si="30"/>
        <v>0.78327499999999994</v>
      </c>
      <c r="M176" s="62">
        <f t="shared" si="32"/>
        <v>689.28199999999993</v>
      </c>
      <c r="N176" s="62">
        <f t="shared" si="33"/>
        <v>1489.2820000000002</v>
      </c>
      <c r="O176" s="62">
        <f t="shared" si="34"/>
        <v>0</v>
      </c>
      <c r="P176" s="62">
        <f t="shared" si="35"/>
        <v>44680.718000000001</v>
      </c>
    </row>
    <row r="177" spans="2:16" ht="15" customHeight="1" x14ac:dyDescent="0.35">
      <c r="B177" s="68">
        <v>172</v>
      </c>
      <c r="C177" s="69">
        <f>'Rainfall Data'!J203</f>
        <v>46194</v>
      </c>
      <c r="D177" s="70">
        <f>'Rainfall Data'!P203</f>
        <v>0</v>
      </c>
      <c r="E177" s="71">
        <f t="shared" si="24"/>
        <v>0</v>
      </c>
      <c r="F177" s="72">
        <f t="shared" si="31"/>
        <v>200</v>
      </c>
      <c r="G177" s="73">
        <f t="shared" si="25"/>
        <v>270</v>
      </c>
      <c r="H177" s="74">
        <f t="shared" si="26"/>
        <v>0</v>
      </c>
      <c r="I177" s="75">
        <f t="shared" si="27"/>
        <v>0</v>
      </c>
      <c r="J177" s="76">
        <f t="shared" si="28"/>
        <v>270</v>
      </c>
      <c r="K177" s="71">
        <f t="shared" si="29"/>
        <v>200</v>
      </c>
      <c r="L177" s="77">
        <f t="shared" si="30"/>
        <v>0</v>
      </c>
      <c r="M177" s="72">
        <f t="shared" si="32"/>
        <v>689.28199999999993</v>
      </c>
      <c r="N177" s="72">
        <f t="shared" si="33"/>
        <v>1489.2820000000002</v>
      </c>
      <c r="O177" s="72">
        <f t="shared" si="34"/>
        <v>0</v>
      </c>
      <c r="P177" s="72">
        <f t="shared" si="35"/>
        <v>44950.718000000001</v>
      </c>
    </row>
    <row r="178" spans="2:16" ht="15" customHeight="1" x14ac:dyDescent="0.35">
      <c r="B178" s="52">
        <v>173</v>
      </c>
      <c r="C178" s="59">
        <f>'Rainfall Data'!J204</f>
        <v>46195</v>
      </c>
      <c r="D178" s="60">
        <f>'Rainfall Data'!P204</f>
        <v>0</v>
      </c>
      <c r="E178" s="61">
        <f t="shared" si="24"/>
        <v>0</v>
      </c>
      <c r="F178" s="62">
        <f t="shared" si="31"/>
        <v>200</v>
      </c>
      <c r="G178" s="63">
        <f t="shared" si="25"/>
        <v>270</v>
      </c>
      <c r="H178" s="64">
        <f t="shared" si="26"/>
        <v>0</v>
      </c>
      <c r="I178" s="65">
        <f t="shared" si="27"/>
        <v>0</v>
      </c>
      <c r="J178" s="66">
        <f t="shared" si="28"/>
        <v>270</v>
      </c>
      <c r="K178" s="61">
        <f t="shared" si="29"/>
        <v>200</v>
      </c>
      <c r="L178" s="67">
        <f t="shared" si="30"/>
        <v>0</v>
      </c>
      <c r="M178" s="62">
        <f t="shared" si="32"/>
        <v>689.28199999999993</v>
      </c>
      <c r="N178" s="62">
        <f t="shared" si="33"/>
        <v>1489.2820000000002</v>
      </c>
      <c r="O178" s="62">
        <f t="shared" si="34"/>
        <v>0</v>
      </c>
      <c r="P178" s="62">
        <f t="shared" si="35"/>
        <v>45220.718000000001</v>
      </c>
    </row>
    <row r="179" spans="2:16" ht="15" customHeight="1" x14ac:dyDescent="0.35">
      <c r="B179" s="68">
        <v>174</v>
      </c>
      <c r="C179" s="69">
        <f>'Rainfall Data'!J205</f>
        <v>46196</v>
      </c>
      <c r="D179" s="70">
        <f>'Rainfall Data'!P205</f>
        <v>0</v>
      </c>
      <c r="E179" s="71">
        <f t="shared" si="24"/>
        <v>0</v>
      </c>
      <c r="F179" s="72">
        <f t="shared" si="31"/>
        <v>200</v>
      </c>
      <c r="G179" s="73">
        <f t="shared" si="25"/>
        <v>270</v>
      </c>
      <c r="H179" s="74">
        <f t="shared" si="26"/>
        <v>0</v>
      </c>
      <c r="I179" s="75">
        <f t="shared" si="27"/>
        <v>0</v>
      </c>
      <c r="J179" s="76">
        <f t="shared" si="28"/>
        <v>270</v>
      </c>
      <c r="K179" s="71">
        <f t="shared" si="29"/>
        <v>200</v>
      </c>
      <c r="L179" s="77">
        <f t="shared" si="30"/>
        <v>0</v>
      </c>
      <c r="M179" s="72">
        <f t="shared" si="32"/>
        <v>689.28199999999993</v>
      </c>
      <c r="N179" s="72">
        <f t="shared" si="33"/>
        <v>1489.2820000000002</v>
      </c>
      <c r="O179" s="72">
        <f t="shared" si="34"/>
        <v>0</v>
      </c>
      <c r="P179" s="72">
        <f t="shared" si="35"/>
        <v>45490.718000000001</v>
      </c>
    </row>
    <row r="180" spans="2:16" ht="15" customHeight="1" x14ac:dyDescent="0.35">
      <c r="B180" s="52">
        <v>175</v>
      </c>
      <c r="C180" s="59">
        <f>'Rainfall Data'!J206</f>
        <v>46197</v>
      </c>
      <c r="D180" s="60">
        <f>'Rainfall Data'!P206</f>
        <v>0</v>
      </c>
      <c r="E180" s="61">
        <f t="shared" si="24"/>
        <v>0</v>
      </c>
      <c r="F180" s="62">
        <f t="shared" si="31"/>
        <v>200</v>
      </c>
      <c r="G180" s="63">
        <f t="shared" si="25"/>
        <v>270</v>
      </c>
      <c r="H180" s="64">
        <f t="shared" si="26"/>
        <v>0</v>
      </c>
      <c r="I180" s="65">
        <f t="shared" si="27"/>
        <v>0</v>
      </c>
      <c r="J180" s="66">
        <f t="shared" si="28"/>
        <v>270</v>
      </c>
      <c r="K180" s="61">
        <f t="shared" si="29"/>
        <v>200</v>
      </c>
      <c r="L180" s="67">
        <f t="shared" si="30"/>
        <v>0</v>
      </c>
      <c r="M180" s="62">
        <f t="shared" si="32"/>
        <v>689.28199999999993</v>
      </c>
      <c r="N180" s="62">
        <f t="shared" si="33"/>
        <v>1489.2820000000002</v>
      </c>
      <c r="O180" s="62">
        <f t="shared" si="34"/>
        <v>0</v>
      </c>
      <c r="P180" s="62">
        <f t="shared" si="35"/>
        <v>45760.718000000001</v>
      </c>
    </row>
    <row r="181" spans="2:16" ht="15" customHeight="1" x14ac:dyDescent="0.35">
      <c r="B181" s="68">
        <v>176</v>
      </c>
      <c r="C181" s="69">
        <f>'Rainfall Data'!J207</f>
        <v>46198</v>
      </c>
      <c r="D181" s="70">
        <f>'Rainfall Data'!P207</f>
        <v>0</v>
      </c>
      <c r="E181" s="71">
        <f t="shared" si="24"/>
        <v>0</v>
      </c>
      <c r="F181" s="72">
        <f t="shared" si="31"/>
        <v>200</v>
      </c>
      <c r="G181" s="73">
        <f t="shared" si="25"/>
        <v>270</v>
      </c>
      <c r="H181" s="74">
        <f t="shared" si="26"/>
        <v>0</v>
      </c>
      <c r="I181" s="75">
        <f t="shared" si="27"/>
        <v>0</v>
      </c>
      <c r="J181" s="76">
        <f t="shared" si="28"/>
        <v>270</v>
      </c>
      <c r="K181" s="71">
        <f t="shared" si="29"/>
        <v>200</v>
      </c>
      <c r="L181" s="77">
        <f t="shared" si="30"/>
        <v>0</v>
      </c>
      <c r="M181" s="72">
        <f t="shared" si="32"/>
        <v>689.28199999999993</v>
      </c>
      <c r="N181" s="72">
        <f t="shared" si="33"/>
        <v>1489.2820000000002</v>
      </c>
      <c r="O181" s="72">
        <f t="shared" si="34"/>
        <v>0</v>
      </c>
      <c r="P181" s="72">
        <f t="shared" si="35"/>
        <v>46030.718000000001</v>
      </c>
    </row>
    <row r="182" spans="2:16" ht="15" customHeight="1" x14ac:dyDescent="0.35">
      <c r="B182" s="52">
        <v>177</v>
      </c>
      <c r="C182" s="59">
        <f>'Rainfall Data'!J208</f>
        <v>46199</v>
      </c>
      <c r="D182" s="60">
        <f>'Rainfall Data'!P208</f>
        <v>0</v>
      </c>
      <c r="E182" s="61">
        <f t="shared" si="24"/>
        <v>0</v>
      </c>
      <c r="F182" s="62">
        <f t="shared" si="31"/>
        <v>200</v>
      </c>
      <c r="G182" s="63">
        <f t="shared" si="25"/>
        <v>270</v>
      </c>
      <c r="H182" s="64">
        <f t="shared" si="26"/>
        <v>0</v>
      </c>
      <c r="I182" s="65">
        <f t="shared" si="27"/>
        <v>0</v>
      </c>
      <c r="J182" s="66">
        <f t="shared" si="28"/>
        <v>270</v>
      </c>
      <c r="K182" s="61">
        <f t="shared" si="29"/>
        <v>200</v>
      </c>
      <c r="L182" s="67">
        <f t="shared" si="30"/>
        <v>0</v>
      </c>
      <c r="M182" s="62">
        <f t="shared" si="32"/>
        <v>689.28199999999993</v>
      </c>
      <c r="N182" s="62">
        <f t="shared" si="33"/>
        <v>1489.2820000000002</v>
      </c>
      <c r="O182" s="62">
        <f t="shared" si="34"/>
        <v>0</v>
      </c>
      <c r="P182" s="62">
        <f t="shared" si="35"/>
        <v>46300.718000000001</v>
      </c>
    </row>
    <row r="183" spans="2:16" ht="15" customHeight="1" x14ac:dyDescent="0.35">
      <c r="B183" s="68">
        <v>178</v>
      </c>
      <c r="C183" s="69">
        <f>'Rainfall Data'!J209</f>
        <v>46200</v>
      </c>
      <c r="D183" s="70">
        <f>'Rainfall Data'!P209</f>
        <v>0</v>
      </c>
      <c r="E183" s="71">
        <f t="shared" si="24"/>
        <v>0</v>
      </c>
      <c r="F183" s="72">
        <f t="shared" si="31"/>
        <v>200</v>
      </c>
      <c r="G183" s="73">
        <f t="shared" si="25"/>
        <v>270</v>
      </c>
      <c r="H183" s="74">
        <f t="shared" si="26"/>
        <v>0</v>
      </c>
      <c r="I183" s="75">
        <f t="shared" si="27"/>
        <v>0</v>
      </c>
      <c r="J183" s="76">
        <f t="shared" si="28"/>
        <v>270</v>
      </c>
      <c r="K183" s="71">
        <f t="shared" si="29"/>
        <v>200</v>
      </c>
      <c r="L183" s="77">
        <f t="shared" si="30"/>
        <v>0</v>
      </c>
      <c r="M183" s="72">
        <f t="shared" si="32"/>
        <v>689.28199999999993</v>
      </c>
      <c r="N183" s="72">
        <f t="shared" si="33"/>
        <v>1489.2820000000002</v>
      </c>
      <c r="O183" s="72">
        <f t="shared" si="34"/>
        <v>0</v>
      </c>
      <c r="P183" s="72">
        <f t="shared" si="35"/>
        <v>46570.718000000001</v>
      </c>
    </row>
    <row r="184" spans="2:16" ht="15" customHeight="1" x14ac:dyDescent="0.35">
      <c r="B184" s="52">
        <v>179</v>
      </c>
      <c r="C184" s="59">
        <f>'Rainfall Data'!J210</f>
        <v>46201</v>
      </c>
      <c r="D184" s="60">
        <f>'Rainfall Data'!P210</f>
        <v>0</v>
      </c>
      <c r="E184" s="61">
        <f t="shared" si="24"/>
        <v>0</v>
      </c>
      <c r="F184" s="62">
        <f t="shared" si="31"/>
        <v>200</v>
      </c>
      <c r="G184" s="63">
        <f t="shared" si="25"/>
        <v>270</v>
      </c>
      <c r="H184" s="64">
        <f t="shared" si="26"/>
        <v>0</v>
      </c>
      <c r="I184" s="65">
        <f t="shared" si="27"/>
        <v>0</v>
      </c>
      <c r="J184" s="66">
        <f t="shared" si="28"/>
        <v>270</v>
      </c>
      <c r="K184" s="61">
        <f t="shared" si="29"/>
        <v>200</v>
      </c>
      <c r="L184" s="67">
        <f t="shared" si="30"/>
        <v>0</v>
      </c>
      <c r="M184" s="62">
        <f t="shared" si="32"/>
        <v>689.28199999999993</v>
      </c>
      <c r="N184" s="62">
        <f t="shared" si="33"/>
        <v>1489.2820000000002</v>
      </c>
      <c r="O184" s="62">
        <f t="shared" si="34"/>
        <v>0</v>
      </c>
      <c r="P184" s="62">
        <f t="shared" si="35"/>
        <v>46840.718000000001</v>
      </c>
    </row>
    <row r="185" spans="2:16" ht="15" customHeight="1" x14ac:dyDescent="0.35">
      <c r="B185" s="68">
        <v>180</v>
      </c>
      <c r="C185" s="69">
        <f>'Rainfall Data'!J211</f>
        <v>46202</v>
      </c>
      <c r="D185" s="70">
        <f>'Rainfall Data'!P211</f>
        <v>0</v>
      </c>
      <c r="E185" s="71">
        <f t="shared" si="24"/>
        <v>0</v>
      </c>
      <c r="F185" s="72">
        <f t="shared" si="31"/>
        <v>200</v>
      </c>
      <c r="G185" s="73">
        <f t="shared" si="25"/>
        <v>270</v>
      </c>
      <c r="H185" s="74">
        <f t="shared" si="26"/>
        <v>0</v>
      </c>
      <c r="I185" s="75">
        <f t="shared" si="27"/>
        <v>0</v>
      </c>
      <c r="J185" s="76">
        <f t="shared" si="28"/>
        <v>270</v>
      </c>
      <c r="K185" s="71">
        <f t="shared" si="29"/>
        <v>200</v>
      </c>
      <c r="L185" s="77">
        <f t="shared" si="30"/>
        <v>0</v>
      </c>
      <c r="M185" s="72">
        <f t="shared" si="32"/>
        <v>689.28199999999993</v>
      </c>
      <c r="N185" s="72">
        <f t="shared" si="33"/>
        <v>1489.2820000000002</v>
      </c>
      <c r="O185" s="72">
        <f t="shared" si="34"/>
        <v>0</v>
      </c>
      <c r="P185" s="72">
        <f t="shared" si="35"/>
        <v>47110.718000000001</v>
      </c>
    </row>
    <row r="186" spans="2:16" ht="15" customHeight="1" x14ac:dyDescent="0.35">
      <c r="B186" s="52">
        <v>181</v>
      </c>
      <c r="C186" s="59">
        <f>'Rainfall Data'!J212</f>
        <v>46203</v>
      </c>
      <c r="D186" s="60">
        <f>'Rainfall Data'!P212</f>
        <v>0</v>
      </c>
      <c r="E186" s="61">
        <f t="shared" si="24"/>
        <v>0</v>
      </c>
      <c r="F186" s="62">
        <f t="shared" si="31"/>
        <v>200</v>
      </c>
      <c r="G186" s="63">
        <f t="shared" si="25"/>
        <v>270</v>
      </c>
      <c r="H186" s="64">
        <f t="shared" si="26"/>
        <v>0</v>
      </c>
      <c r="I186" s="65">
        <f t="shared" si="27"/>
        <v>0</v>
      </c>
      <c r="J186" s="66">
        <f t="shared" si="28"/>
        <v>270</v>
      </c>
      <c r="K186" s="61">
        <f t="shared" si="29"/>
        <v>200</v>
      </c>
      <c r="L186" s="67">
        <f t="shared" si="30"/>
        <v>0</v>
      </c>
      <c r="M186" s="62">
        <f t="shared" si="32"/>
        <v>689.28199999999993</v>
      </c>
      <c r="N186" s="62">
        <f t="shared" si="33"/>
        <v>1489.2820000000002</v>
      </c>
      <c r="O186" s="62">
        <f t="shared" si="34"/>
        <v>0</v>
      </c>
      <c r="P186" s="62">
        <f t="shared" si="35"/>
        <v>47380.718000000001</v>
      </c>
    </row>
    <row r="187" spans="2:16" ht="15" customHeight="1" x14ac:dyDescent="0.35">
      <c r="B187" s="68">
        <v>182</v>
      </c>
      <c r="C187" s="69">
        <f>'Rainfall Data'!J213</f>
        <v>46204</v>
      </c>
      <c r="D187" s="70">
        <f>'Rainfall Data'!P213</f>
        <v>0</v>
      </c>
      <c r="E187" s="71">
        <f t="shared" si="24"/>
        <v>0</v>
      </c>
      <c r="F187" s="72">
        <f t="shared" si="31"/>
        <v>200</v>
      </c>
      <c r="G187" s="73">
        <f t="shared" si="25"/>
        <v>270</v>
      </c>
      <c r="H187" s="74">
        <f t="shared" si="26"/>
        <v>0</v>
      </c>
      <c r="I187" s="75">
        <f t="shared" si="27"/>
        <v>0</v>
      </c>
      <c r="J187" s="76">
        <f t="shared" si="28"/>
        <v>270</v>
      </c>
      <c r="K187" s="71">
        <f t="shared" si="29"/>
        <v>200</v>
      </c>
      <c r="L187" s="77">
        <f t="shared" si="30"/>
        <v>0</v>
      </c>
      <c r="M187" s="72">
        <f t="shared" si="32"/>
        <v>689.28199999999993</v>
      </c>
      <c r="N187" s="72">
        <f t="shared" si="33"/>
        <v>1489.2820000000002</v>
      </c>
      <c r="O187" s="72">
        <f t="shared" si="34"/>
        <v>0</v>
      </c>
      <c r="P187" s="72">
        <f t="shared" si="35"/>
        <v>47650.718000000001</v>
      </c>
    </row>
    <row r="188" spans="2:16" ht="15" customHeight="1" x14ac:dyDescent="0.35">
      <c r="B188" s="52">
        <v>183</v>
      </c>
      <c r="C188" s="59">
        <f>'Rainfall Data'!J214</f>
        <v>46205</v>
      </c>
      <c r="D188" s="60">
        <f>'Rainfall Data'!P214</f>
        <v>0</v>
      </c>
      <c r="E188" s="61">
        <f t="shared" si="24"/>
        <v>0</v>
      </c>
      <c r="F188" s="62">
        <f t="shared" si="31"/>
        <v>200</v>
      </c>
      <c r="G188" s="63">
        <f t="shared" si="25"/>
        <v>270</v>
      </c>
      <c r="H188" s="64">
        <f t="shared" si="26"/>
        <v>0</v>
      </c>
      <c r="I188" s="65">
        <f t="shared" si="27"/>
        <v>0</v>
      </c>
      <c r="J188" s="66">
        <f t="shared" si="28"/>
        <v>270</v>
      </c>
      <c r="K188" s="61">
        <f t="shared" si="29"/>
        <v>200</v>
      </c>
      <c r="L188" s="67">
        <f t="shared" si="30"/>
        <v>0</v>
      </c>
      <c r="M188" s="62">
        <f t="shared" si="32"/>
        <v>689.28199999999993</v>
      </c>
      <c r="N188" s="62">
        <f t="shared" si="33"/>
        <v>1489.2820000000002</v>
      </c>
      <c r="O188" s="62">
        <f t="shared" si="34"/>
        <v>0</v>
      </c>
      <c r="P188" s="62">
        <f t="shared" si="35"/>
        <v>47920.718000000001</v>
      </c>
    </row>
    <row r="189" spans="2:16" ht="15" customHeight="1" x14ac:dyDescent="0.35">
      <c r="B189" s="68">
        <v>184</v>
      </c>
      <c r="C189" s="69">
        <f>'Rainfall Data'!J215</f>
        <v>46206</v>
      </c>
      <c r="D189" s="70">
        <f>'Rainfall Data'!P215</f>
        <v>0</v>
      </c>
      <c r="E189" s="71">
        <f t="shared" si="24"/>
        <v>0</v>
      </c>
      <c r="F189" s="72">
        <f t="shared" si="31"/>
        <v>200</v>
      </c>
      <c r="G189" s="73">
        <f t="shared" si="25"/>
        <v>270</v>
      </c>
      <c r="H189" s="74">
        <f t="shared" si="26"/>
        <v>0</v>
      </c>
      <c r="I189" s="75">
        <f t="shared" si="27"/>
        <v>0</v>
      </c>
      <c r="J189" s="76">
        <f t="shared" si="28"/>
        <v>270</v>
      </c>
      <c r="K189" s="71">
        <f t="shared" si="29"/>
        <v>200</v>
      </c>
      <c r="L189" s="77">
        <f t="shared" si="30"/>
        <v>0</v>
      </c>
      <c r="M189" s="72">
        <f t="shared" si="32"/>
        <v>689.28199999999993</v>
      </c>
      <c r="N189" s="72">
        <f t="shared" si="33"/>
        <v>1489.2820000000002</v>
      </c>
      <c r="O189" s="72">
        <f t="shared" si="34"/>
        <v>0</v>
      </c>
      <c r="P189" s="72">
        <f t="shared" si="35"/>
        <v>48190.718000000001</v>
      </c>
    </row>
    <row r="190" spans="2:16" ht="15" customHeight="1" x14ac:dyDescent="0.35">
      <c r="B190" s="52">
        <v>185</v>
      </c>
      <c r="C190" s="59">
        <f>'Rainfall Data'!J216</f>
        <v>46207</v>
      </c>
      <c r="D190" s="60">
        <f>'Rainfall Data'!P216</f>
        <v>10.833333333333334</v>
      </c>
      <c r="E190" s="61">
        <f t="shared" si="24"/>
        <v>1694.4849166666665</v>
      </c>
      <c r="F190" s="62">
        <f t="shared" si="31"/>
        <v>200</v>
      </c>
      <c r="G190" s="63">
        <f t="shared" si="25"/>
        <v>270</v>
      </c>
      <c r="H190" s="64">
        <f t="shared" si="26"/>
        <v>270</v>
      </c>
      <c r="I190" s="65">
        <f t="shared" si="27"/>
        <v>0</v>
      </c>
      <c r="J190" s="66">
        <f t="shared" si="28"/>
        <v>0</v>
      </c>
      <c r="K190" s="61">
        <f t="shared" si="29"/>
        <v>1624.4849166666665</v>
      </c>
      <c r="L190" s="67">
        <f t="shared" si="30"/>
        <v>0.78327499999999994</v>
      </c>
      <c r="M190" s="62">
        <f t="shared" si="32"/>
        <v>2383.7669166666665</v>
      </c>
      <c r="N190" s="62">
        <f t="shared" si="33"/>
        <v>1759.2820000000002</v>
      </c>
      <c r="O190" s="62">
        <f t="shared" si="34"/>
        <v>0</v>
      </c>
      <c r="P190" s="62">
        <f t="shared" si="35"/>
        <v>48190.718000000001</v>
      </c>
    </row>
    <row r="191" spans="2:16" ht="15" customHeight="1" x14ac:dyDescent="0.35">
      <c r="B191" s="68">
        <v>186</v>
      </c>
      <c r="C191" s="69">
        <f>'Rainfall Data'!J217</f>
        <v>46208</v>
      </c>
      <c r="D191" s="70">
        <f>'Rainfall Data'!P217</f>
        <v>0</v>
      </c>
      <c r="E191" s="71">
        <f t="shared" si="24"/>
        <v>0</v>
      </c>
      <c r="F191" s="72">
        <f t="shared" si="31"/>
        <v>1624.4849166666665</v>
      </c>
      <c r="G191" s="73">
        <f t="shared" si="25"/>
        <v>270</v>
      </c>
      <c r="H191" s="74">
        <f t="shared" si="26"/>
        <v>270</v>
      </c>
      <c r="I191" s="75">
        <f t="shared" si="27"/>
        <v>0</v>
      </c>
      <c r="J191" s="76">
        <f t="shared" si="28"/>
        <v>0</v>
      </c>
      <c r="K191" s="71">
        <f t="shared" si="29"/>
        <v>1354.4849166666665</v>
      </c>
      <c r="L191" s="77">
        <f t="shared" si="30"/>
        <v>0</v>
      </c>
      <c r="M191" s="72">
        <f t="shared" si="32"/>
        <v>2383.7669166666665</v>
      </c>
      <c r="N191" s="72">
        <f t="shared" si="33"/>
        <v>2029.2820000000002</v>
      </c>
      <c r="O191" s="72">
        <f t="shared" si="34"/>
        <v>0</v>
      </c>
      <c r="P191" s="72">
        <f t="shared" si="35"/>
        <v>48190.718000000001</v>
      </c>
    </row>
    <row r="192" spans="2:16" ht="15" customHeight="1" x14ac:dyDescent="0.35">
      <c r="B192" s="52">
        <v>187</v>
      </c>
      <c r="C192" s="59">
        <f>'Rainfall Data'!J218</f>
        <v>46209</v>
      </c>
      <c r="D192" s="60">
        <f>'Rainfall Data'!P218</f>
        <v>0</v>
      </c>
      <c r="E192" s="61">
        <f t="shared" si="24"/>
        <v>0</v>
      </c>
      <c r="F192" s="62">
        <f t="shared" si="31"/>
        <v>1354.4849166666665</v>
      </c>
      <c r="G192" s="63">
        <f t="shared" si="25"/>
        <v>270</v>
      </c>
      <c r="H192" s="64">
        <f t="shared" si="26"/>
        <v>270</v>
      </c>
      <c r="I192" s="65">
        <f t="shared" si="27"/>
        <v>0</v>
      </c>
      <c r="J192" s="66">
        <f t="shared" si="28"/>
        <v>0</v>
      </c>
      <c r="K192" s="61">
        <f t="shared" si="29"/>
        <v>1084.4849166666665</v>
      </c>
      <c r="L192" s="67">
        <f t="shared" si="30"/>
        <v>0</v>
      </c>
      <c r="M192" s="62">
        <f t="shared" si="32"/>
        <v>2383.7669166666665</v>
      </c>
      <c r="N192" s="62">
        <f t="shared" si="33"/>
        <v>2299.2820000000002</v>
      </c>
      <c r="O192" s="62">
        <f t="shared" si="34"/>
        <v>0</v>
      </c>
      <c r="P192" s="62">
        <f t="shared" si="35"/>
        <v>48190.718000000001</v>
      </c>
    </row>
    <row r="193" spans="2:16" ht="15" customHeight="1" x14ac:dyDescent="0.35">
      <c r="B193" s="68">
        <v>188</v>
      </c>
      <c r="C193" s="69">
        <f>'Rainfall Data'!J219</f>
        <v>46210</v>
      </c>
      <c r="D193" s="70">
        <f>'Rainfall Data'!P219</f>
        <v>0</v>
      </c>
      <c r="E193" s="71">
        <f t="shared" si="24"/>
        <v>0</v>
      </c>
      <c r="F193" s="72">
        <f t="shared" si="31"/>
        <v>1084.4849166666665</v>
      </c>
      <c r="G193" s="73">
        <f t="shared" si="25"/>
        <v>270</v>
      </c>
      <c r="H193" s="74">
        <f t="shared" si="26"/>
        <v>270</v>
      </c>
      <c r="I193" s="75">
        <f t="shared" si="27"/>
        <v>0</v>
      </c>
      <c r="J193" s="76">
        <f t="shared" si="28"/>
        <v>0</v>
      </c>
      <c r="K193" s="71">
        <f t="shared" si="29"/>
        <v>814.48491666666655</v>
      </c>
      <c r="L193" s="77">
        <f t="shared" si="30"/>
        <v>0</v>
      </c>
      <c r="M193" s="72">
        <f t="shared" si="32"/>
        <v>2383.7669166666665</v>
      </c>
      <c r="N193" s="72">
        <f t="shared" si="33"/>
        <v>2569.2820000000002</v>
      </c>
      <c r="O193" s="72">
        <f t="shared" si="34"/>
        <v>0</v>
      </c>
      <c r="P193" s="72">
        <f t="shared" si="35"/>
        <v>48190.718000000001</v>
      </c>
    </row>
    <row r="194" spans="2:16" ht="15" customHeight="1" x14ac:dyDescent="0.35">
      <c r="B194" s="52">
        <v>189</v>
      </c>
      <c r="C194" s="59">
        <f>'Rainfall Data'!J220</f>
        <v>46211</v>
      </c>
      <c r="D194" s="60">
        <f>'Rainfall Data'!P220</f>
        <v>0</v>
      </c>
      <c r="E194" s="61">
        <f t="shared" si="24"/>
        <v>0</v>
      </c>
      <c r="F194" s="62">
        <f t="shared" si="31"/>
        <v>814.48491666666655</v>
      </c>
      <c r="G194" s="63">
        <f t="shared" si="25"/>
        <v>270</v>
      </c>
      <c r="H194" s="64">
        <f t="shared" si="26"/>
        <v>270</v>
      </c>
      <c r="I194" s="65">
        <f t="shared" si="27"/>
        <v>0</v>
      </c>
      <c r="J194" s="66">
        <f t="shared" si="28"/>
        <v>0</v>
      </c>
      <c r="K194" s="61">
        <f t="shared" si="29"/>
        <v>544.48491666666655</v>
      </c>
      <c r="L194" s="67">
        <f t="shared" si="30"/>
        <v>0</v>
      </c>
      <c r="M194" s="62">
        <f t="shared" si="32"/>
        <v>2383.7669166666665</v>
      </c>
      <c r="N194" s="62">
        <f t="shared" si="33"/>
        <v>2839.2820000000002</v>
      </c>
      <c r="O194" s="62">
        <f t="shared" si="34"/>
        <v>0</v>
      </c>
      <c r="P194" s="62">
        <f t="shared" si="35"/>
        <v>48190.718000000001</v>
      </c>
    </row>
    <row r="195" spans="2:16" ht="15" customHeight="1" x14ac:dyDescent="0.35">
      <c r="B195" s="68">
        <v>190</v>
      </c>
      <c r="C195" s="69">
        <f>'Rainfall Data'!J221</f>
        <v>46212</v>
      </c>
      <c r="D195" s="70">
        <f>'Rainfall Data'!P221</f>
        <v>10.833333333333334</v>
      </c>
      <c r="E195" s="71">
        <f t="shared" si="24"/>
        <v>1694.4849166666665</v>
      </c>
      <c r="F195" s="72">
        <f t="shared" si="31"/>
        <v>544.48491666666655</v>
      </c>
      <c r="G195" s="73">
        <f t="shared" si="25"/>
        <v>270</v>
      </c>
      <c r="H195" s="74">
        <f t="shared" si="26"/>
        <v>270</v>
      </c>
      <c r="I195" s="75">
        <f t="shared" si="27"/>
        <v>0</v>
      </c>
      <c r="J195" s="76">
        <f t="shared" si="28"/>
        <v>0</v>
      </c>
      <c r="K195" s="71">
        <f t="shared" si="29"/>
        <v>1968.9698333333331</v>
      </c>
      <c r="L195" s="77">
        <f t="shared" si="30"/>
        <v>0.78327499999999994</v>
      </c>
      <c r="M195" s="72">
        <f t="shared" si="32"/>
        <v>4078.2518333333328</v>
      </c>
      <c r="N195" s="72">
        <f t="shared" si="33"/>
        <v>3109.2820000000002</v>
      </c>
      <c r="O195" s="72">
        <f t="shared" si="34"/>
        <v>0</v>
      </c>
      <c r="P195" s="72">
        <f t="shared" si="35"/>
        <v>48190.718000000001</v>
      </c>
    </row>
    <row r="196" spans="2:16" ht="15" customHeight="1" x14ac:dyDescent="0.35">
      <c r="B196" s="52">
        <v>191</v>
      </c>
      <c r="C196" s="59">
        <f>'Rainfall Data'!J222</f>
        <v>46213</v>
      </c>
      <c r="D196" s="60">
        <f>'Rainfall Data'!P222</f>
        <v>0</v>
      </c>
      <c r="E196" s="61">
        <f t="shared" si="24"/>
        <v>0</v>
      </c>
      <c r="F196" s="62">
        <f t="shared" si="31"/>
        <v>1968.9698333333331</v>
      </c>
      <c r="G196" s="63">
        <f t="shared" si="25"/>
        <v>270</v>
      </c>
      <c r="H196" s="64">
        <f t="shared" si="26"/>
        <v>270</v>
      </c>
      <c r="I196" s="65">
        <f t="shared" si="27"/>
        <v>0</v>
      </c>
      <c r="J196" s="66">
        <f t="shared" si="28"/>
        <v>0</v>
      </c>
      <c r="K196" s="61">
        <f t="shared" si="29"/>
        <v>1698.9698333333331</v>
      </c>
      <c r="L196" s="67">
        <f t="shared" si="30"/>
        <v>0</v>
      </c>
      <c r="M196" s="62">
        <f t="shared" si="32"/>
        <v>4078.2518333333328</v>
      </c>
      <c r="N196" s="62">
        <f t="shared" si="33"/>
        <v>3379.2820000000002</v>
      </c>
      <c r="O196" s="62">
        <f t="shared" si="34"/>
        <v>0</v>
      </c>
      <c r="P196" s="62">
        <f t="shared" si="35"/>
        <v>48190.718000000001</v>
      </c>
    </row>
    <row r="197" spans="2:16" ht="15" customHeight="1" x14ac:dyDescent="0.35">
      <c r="B197" s="68">
        <v>192</v>
      </c>
      <c r="C197" s="69">
        <f>'Rainfall Data'!J223</f>
        <v>46214</v>
      </c>
      <c r="D197" s="70">
        <f>'Rainfall Data'!P223</f>
        <v>0</v>
      </c>
      <c r="E197" s="71">
        <f t="shared" si="24"/>
        <v>0</v>
      </c>
      <c r="F197" s="72">
        <f t="shared" si="31"/>
        <v>1698.9698333333331</v>
      </c>
      <c r="G197" s="73">
        <f t="shared" si="25"/>
        <v>270</v>
      </c>
      <c r="H197" s="74">
        <f t="shared" si="26"/>
        <v>270</v>
      </c>
      <c r="I197" s="75">
        <f t="shared" si="27"/>
        <v>0</v>
      </c>
      <c r="J197" s="76">
        <f t="shared" si="28"/>
        <v>0</v>
      </c>
      <c r="K197" s="71">
        <f t="shared" si="29"/>
        <v>1428.9698333333331</v>
      </c>
      <c r="L197" s="77">
        <f t="shared" si="30"/>
        <v>0</v>
      </c>
      <c r="M197" s="72">
        <f t="shared" si="32"/>
        <v>4078.2518333333328</v>
      </c>
      <c r="N197" s="72">
        <f t="shared" si="33"/>
        <v>3649.2820000000002</v>
      </c>
      <c r="O197" s="72">
        <f t="shared" si="34"/>
        <v>0</v>
      </c>
      <c r="P197" s="72">
        <f t="shared" si="35"/>
        <v>48190.718000000001</v>
      </c>
    </row>
    <row r="198" spans="2:16" ht="15" customHeight="1" x14ac:dyDescent="0.35">
      <c r="B198" s="52">
        <v>193</v>
      </c>
      <c r="C198" s="59">
        <f>'Rainfall Data'!J224</f>
        <v>46215</v>
      </c>
      <c r="D198" s="60">
        <f>'Rainfall Data'!P224</f>
        <v>0</v>
      </c>
      <c r="E198" s="61">
        <f t="shared" ref="E198:E261" si="36">MAX(D198-FirstFlush_mm,0)*RoofArea_m2*CollectionEff</f>
        <v>0</v>
      </c>
      <c r="F198" s="62">
        <f t="shared" si="31"/>
        <v>1428.9698333333331</v>
      </c>
      <c r="G198" s="63">
        <f t="shared" ref="G198:G261" si="37">DailyDemand_L</f>
        <v>270</v>
      </c>
      <c r="H198" s="64">
        <f t="shared" ref="H198:H261" si="38">MIN(G198,MAX(F198+E198-DeadStorage_L,0))</f>
        <v>270</v>
      </c>
      <c r="I198" s="65">
        <f t="shared" ref="I198:I261" si="39">MAX(F198+E198-H198-TankCapacity_L,0)</f>
        <v>0</v>
      </c>
      <c r="J198" s="66">
        <f t="shared" ref="J198:J261" si="40">G198-H198</f>
        <v>0</v>
      </c>
      <c r="K198" s="61">
        <f t="shared" ref="K198:K261" si="41">MIN(F198+E198-H198-I198,TankCapacity_L)</f>
        <v>1158.9698333333331</v>
      </c>
      <c r="L198" s="67">
        <f t="shared" ref="L198:L261" si="42">IF(D198&gt;0,CollectionEff,0)</f>
        <v>0</v>
      </c>
      <c r="M198" s="62">
        <f t="shared" si="32"/>
        <v>4078.2518333333328</v>
      </c>
      <c r="N198" s="62">
        <f t="shared" si="33"/>
        <v>3919.2820000000002</v>
      </c>
      <c r="O198" s="62">
        <f t="shared" si="34"/>
        <v>0</v>
      </c>
      <c r="P198" s="62">
        <f t="shared" si="35"/>
        <v>48190.718000000001</v>
      </c>
    </row>
    <row r="199" spans="2:16" ht="15" customHeight="1" x14ac:dyDescent="0.35">
      <c r="B199" s="68">
        <v>194</v>
      </c>
      <c r="C199" s="69">
        <f>'Rainfall Data'!J225</f>
        <v>46216</v>
      </c>
      <c r="D199" s="70">
        <f>'Rainfall Data'!P225</f>
        <v>10.833333333333334</v>
      </c>
      <c r="E199" s="71">
        <f t="shared" si="36"/>
        <v>1694.4849166666665</v>
      </c>
      <c r="F199" s="72">
        <f t="shared" ref="F199:F262" si="43">K198</f>
        <v>1158.9698333333331</v>
      </c>
      <c r="G199" s="73">
        <f t="shared" si="37"/>
        <v>270</v>
      </c>
      <c r="H199" s="74">
        <f t="shared" si="38"/>
        <v>270</v>
      </c>
      <c r="I199" s="75">
        <f t="shared" si="39"/>
        <v>0</v>
      </c>
      <c r="J199" s="76">
        <f t="shared" si="40"/>
        <v>0</v>
      </c>
      <c r="K199" s="71">
        <f t="shared" si="41"/>
        <v>2583.4547499999999</v>
      </c>
      <c r="L199" s="77">
        <f t="shared" si="42"/>
        <v>0.78327499999999994</v>
      </c>
      <c r="M199" s="72">
        <f t="shared" ref="M199:M262" si="44">M198+E199</f>
        <v>5772.7367499999991</v>
      </c>
      <c r="N199" s="72">
        <f t="shared" ref="N199:N262" si="45">N198+H199</f>
        <v>4189.2820000000002</v>
      </c>
      <c r="O199" s="72">
        <f t="shared" ref="O199:O262" si="46">O198+I199</f>
        <v>0</v>
      </c>
      <c r="P199" s="72">
        <f t="shared" ref="P199:P262" si="47">P198+J199</f>
        <v>48190.718000000001</v>
      </c>
    </row>
    <row r="200" spans="2:16" ht="15" customHeight="1" x14ac:dyDescent="0.35">
      <c r="B200" s="52">
        <v>195</v>
      </c>
      <c r="C200" s="59">
        <f>'Rainfall Data'!J226</f>
        <v>46217</v>
      </c>
      <c r="D200" s="60">
        <f>'Rainfall Data'!P226</f>
        <v>0</v>
      </c>
      <c r="E200" s="61">
        <f t="shared" si="36"/>
        <v>0</v>
      </c>
      <c r="F200" s="62">
        <f t="shared" si="43"/>
        <v>2583.4547499999999</v>
      </c>
      <c r="G200" s="63">
        <f t="shared" si="37"/>
        <v>270</v>
      </c>
      <c r="H200" s="64">
        <f t="shared" si="38"/>
        <v>270</v>
      </c>
      <c r="I200" s="65">
        <f t="shared" si="39"/>
        <v>0</v>
      </c>
      <c r="J200" s="66">
        <f t="shared" si="40"/>
        <v>0</v>
      </c>
      <c r="K200" s="61">
        <f t="shared" si="41"/>
        <v>2313.4547499999999</v>
      </c>
      <c r="L200" s="67">
        <f t="shared" si="42"/>
        <v>0</v>
      </c>
      <c r="M200" s="62">
        <f t="shared" si="44"/>
        <v>5772.7367499999991</v>
      </c>
      <c r="N200" s="62">
        <f t="shared" si="45"/>
        <v>4459.2820000000002</v>
      </c>
      <c r="O200" s="62">
        <f t="shared" si="46"/>
        <v>0</v>
      </c>
      <c r="P200" s="62">
        <f t="shared" si="47"/>
        <v>48190.718000000001</v>
      </c>
    </row>
    <row r="201" spans="2:16" ht="15" customHeight="1" x14ac:dyDescent="0.35">
      <c r="B201" s="68">
        <v>196</v>
      </c>
      <c r="C201" s="69">
        <f>'Rainfall Data'!J227</f>
        <v>46218</v>
      </c>
      <c r="D201" s="70">
        <f>'Rainfall Data'!P227</f>
        <v>0</v>
      </c>
      <c r="E201" s="71">
        <f t="shared" si="36"/>
        <v>0</v>
      </c>
      <c r="F201" s="72">
        <f t="shared" si="43"/>
        <v>2313.4547499999999</v>
      </c>
      <c r="G201" s="73">
        <f t="shared" si="37"/>
        <v>270</v>
      </c>
      <c r="H201" s="74">
        <f t="shared" si="38"/>
        <v>270</v>
      </c>
      <c r="I201" s="75">
        <f t="shared" si="39"/>
        <v>0</v>
      </c>
      <c r="J201" s="76">
        <f t="shared" si="40"/>
        <v>0</v>
      </c>
      <c r="K201" s="71">
        <f t="shared" si="41"/>
        <v>2043.4547499999999</v>
      </c>
      <c r="L201" s="77">
        <f t="shared" si="42"/>
        <v>0</v>
      </c>
      <c r="M201" s="72">
        <f t="shared" si="44"/>
        <v>5772.7367499999991</v>
      </c>
      <c r="N201" s="72">
        <f t="shared" si="45"/>
        <v>4729.2820000000002</v>
      </c>
      <c r="O201" s="72">
        <f t="shared" si="46"/>
        <v>0</v>
      </c>
      <c r="P201" s="72">
        <f t="shared" si="47"/>
        <v>48190.718000000001</v>
      </c>
    </row>
    <row r="202" spans="2:16" ht="15" customHeight="1" x14ac:dyDescent="0.35">
      <c r="B202" s="52">
        <v>197</v>
      </c>
      <c r="C202" s="59">
        <f>'Rainfall Data'!J228</f>
        <v>46219</v>
      </c>
      <c r="D202" s="60">
        <f>'Rainfall Data'!P228</f>
        <v>0</v>
      </c>
      <c r="E202" s="61">
        <f t="shared" si="36"/>
        <v>0</v>
      </c>
      <c r="F202" s="62">
        <f t="shared" si="43"/>
        <v>2043.4547499999999</v>
      </c>
      <c r="G202" s="63">
        <f t="shared" si="37"/>
        <v>270</v>
      </c>
      <c r="H202" s="64">
        <f t="shared" si="38"/>
        <v>270</v>
      </c>
      <c r="I202" s="65">
        <f t="shared" si="39"/>
        <v>0</v>
      </c>
      <c r="J202" s="66">
        <f t="shared" si="40"/>
        <v>0</v>
      </c>
      <c r="K202" s="61">
        <f t="shared" si="41"/>
        <v>1773.4547499999999</v>
      </c>
      <c r="L202" s="67">
        <f t="shared" si="42"/>
        <v>0</v>
      </c>
      <c r="M202" s="62">
        <f t="shared" si="44"/>
        <v>5772.7367499999991</v>
      </c>
      <c r="N202" s="62">
        <f t="shared" si="45"/>
        <v>4999.2820000000002</v>
      </c>
      <c r="O202" s="62">
        <f t="shared" si="46"/>
        <v>0</v>
      </c>
      <c r="P202" s="62">
        <f t="shared" si="47"/>
        <v>48190.718000000001</v>
      </c>
    </row>
    <row r="203" spans="2:16" ht="15" customHeight="1" x14ac:dyDescent="0.35">
      <c r="B203" s="68">
        <v>198</v>
      </c>
      <c r="C203" s="69">
        <f>'Rainfall Data'!J229</f>
        <v>46220</v>
      </c>
      <c r="D203" s="70">
        <f>'Rainfall Data'!P229</f>
        <v>0</v>
      </c>
      <c r="E203" s="71">
        <f t="shared" si="36"/>
        <v>0</v>
      </c>
      <c r="F203" s="72">
        <f t="shared" si="43"/>
        <v>1773.4547499999999</v>
      </c>
      <c r="G203" s="73">
        <f t="shared" si="37"/>
        <v>270</v>
      </c>
      <c r="H203" s="74">
        <f t="shared" si="38"/>
        <v>270</v>
      </c>
      <c r="I203" s="75">
        <f t="shared" si="39"/>
        <v>0</v>
      </c>
      <c r="J203" s="76">
        <f t="shared" si="40"/>
        <v>0</v>
      </c>
      <c r="K203" s="71">
        <f t="shared" si="41"/>
        <v>1503.4547499999999</v>
      </c>
      <c r="L203" s="77">
        <f t="shared" si="42"/>
        <v>0</v>
      </c>
      <c r="M203" s="72">
        <f t="shared" si="44"/>
        <v>5772.7367499999991</v>
      </c>
      <c r="N203" s="72">
        <f t="shared" si="45"/>
        <v>5269.2820000000002</v>
      </c>
      <c r="O203" s="72">
        <f t="shared" si="46"/>
        <v>0</v>
      </c>
      <c r="P203" s="72">
        <f t="shared" si="47"/>
        <v>48190.718000000001</v>
      </c>
    </row>
    <row r="204" spans="2:16" ht="15" customHeight="1" x14ac:dyDescent="0.35">
      <c r="B204" s="52">
        <v>199</v>
      </c>
      <c r="C204" s="59">
        <f>'Rainfall Data'!J230</f>
        <v>46221</v>
      </c>
      <c r="D204" s="60">
        <f>'Rainfall Data'!P230</f>
        <v>10.833333333333334</v>
      </c>
      <c r="E204" s="61">
        <f t="shared" si="36"/>
        <v>1694.4849166666665</v>
      </c>
      <c r="F204" s="62">
        <f t="shared" si="43"/>
        <v>1503.4547499999999</v>
      </c>
      <c r="G204" s="63">
        <f t="shared" si="37"/>
        <v>270</v>
      </c>
      <c r="H204" s="64">
        <f t="shared" si="38"/>
        <v>270</v>
      </c>
      <c r="I204" s="65">
        <f t="shared" si="39"/>
        <v>0</v>
      </c>
      <c r="J204" s="66">
        <f t="shared" si="40"/>
        <v>0</v>
      </c>
      <c r="K204" s="61">
        <f t="shared" si="41"/>
        <v>2927.9396666666662</v>
      </c>
      <c r="L204" s="67">
        <f t="shared" si="42"/>
        <v>0.78327499999999994</v>
      </c>
      <c r="M204" s="62">
        <f t="shared" si="44"/>
        <v>7467.2216666666654</v>
      </c>
      <c r="N204" s="62">
        <f t="shared" si="45"/>
        <v>5539.2820000000002</v>
      </c>
      <c r="O204" s="62">
        <f t="shared" si="46"/>
        <v>0</v>
      </c>
      <c r="P204" s="62">
        <f t="shared" si="47"/>
        <v>48190.718000000001</v>
      </c>
    </row>
    <row r="205" spans="2:16" ht="15" customHeight="1" x14ac:dyDescent="0.35">
      <c r="B205" s="68">
        <v>200</v>
      </c>
      <c r="C205" s="69">
        <f>'Rainfall Data'!J231</f>
        <v>46222</v>
      </c>
      <c r="D205" s="70">
        <f>'Rainfall Data'!P231</f>
        <v>0</v>
      </c>
      <c r="E205" s="71">
        <f t="shared" si="36"/>
        <v>0</v>
      </c>
      <c r="F205" s="72">
        <f t="shared" si="43"/>
        <v>2927.9396666666662</v>
      </c>
      <c r="G205" s="73">
        <f t="shared" si="37"/>
        <v>270</v>
      </c>
      <c r="H205" s="74">
        <f t="shared" si="38"/>
        <v>270</v>
      </c>
      <c r="I205" s="75">
        <f t="shared" si="39"/>
        <v>0</v>
      </c>
      <c r="J205" s="76">
        <f t="shared" si="40"/>
        <v>0</v>
      </c>
      <c r="K205" s="71">
        <f t="shared" si="41"/>
        <v>2657.9396666666662</v>
      </c>
      <c r="L205" s="77">
        <f t="shared" si="42"/>
        <v>0</v>
      </c>
      <c r="M205" s="72">
        <f t="shared" si="44"/>
        <v>7467.2216666666654</v>
      </c>
      <c r="N205" s="72">
        <f t="shared" si="45"/>
        <v>5809.2820000000002</v>
      </c>
      <c r="O205" s="72">
        <f t="shared" si="46"/>
        <v>0</v>
      </c>
      <c r="P205" s="72">
        <f t="shared" si="47"/>
        <v>48190.718000000001</v>
      </c>
    </row>
    <row r="206" spans="2:16" ht="15" customHeight="1" x14ac:dyDescent="0.35">
      <c r="B206" s="52">
        <v>201</v>
      </c>
      <c r="C206" s="59">
        <f>'Rainfall Data'!J232</f>
        <v>46223</v>
      </c>
      <c r="D206" s="60">
        <f>'Rainfall Data'!P232</f>
        <v>0</v>
      </c>
      <c r="E206" s="61">
        <f t="shared" si="36"/>
        <v>0</v>
      </c>
      <c r="F206" s="62">
        <f t="shared" si="43"/>
        <v>2657.9396666666662</v>
      </c>
      <c r="G206" s="63">
        <f t="shared" si="37"/>
        <v>270</v>
      </c>
      <c r="H206" s="64">
        <f t="shared" si="38"/>
        <v>270</v>
      </c>
      <c r="I206" s="65">
        <f t="shared" si="39"/>
        <v>0</v>
      </c>
      <c r="J206" s="66">
        <f t="shared" si="40"/>
        <v>0</v>
      </c>
      <c r="K206" s="61">
        <f t="shared" si="41"/>
        <v>2387.9396666666662</v>
      </c>
      <c r="L206" s="67">
        <f t="shared" si="42"/>
        <v>0</v>
      </c>
      <c r="M206" s="62">
        <f t="shared" si="44"/>
        <v>7467.2216666666654</v>
      </c>
      <c r="N206" s="62">
        <f t="shared" si="45"/>
        <v>6079.2820000000002</v>
      </c>
      <c r="O206" s="62">
        <f t="shared" si="46"/>
        <v>0</v>
      </c>
      <c r="P206" s="62">
        <f t="shared" si="47"/>
        <v>48190.718000000001</v>
      </c>
    </row>
    <row r="207" spans="2:16" ht="15" customHeight="1" x14ac:dyDescent="0.35">
      <c r="B207" s="68">
        <v>202</v>
      </c>
      <c r="C207" s="69">
        <f>'Rainfall Data'!J233</f>
        <v>46224</v>
      </c>
      <c r="D207" s="70">
        <f>'Rainfall Data'!P233</f>
        <v>0</v>
      </c>
      <c r="E207" s="71">
        <f t="shared" si="36"/>
        <v>0</v>
      </c>
      <c r="F207" s="72">
        <f t="shared" si="43"/>
        <v>2387.9396666666662</v>
      </c>
      <c r="G207" s="73">
        <f t="shared" si="37"/>
        <v>270</v>
      </c>
      <c r="H207" s="74">
        <f t="shared" si="38"/>
        <v>270</v>
      </c>
      <c r="I207" s="75">
        <f t="shared" si="39"/>
        <v>0</v>
      </c>
      <c r="J207" s="76">
        <f t="shared" si="40"/>
        <v>0</v>
      </c>
      <c r="K207" s="71">
        <f t="shared" si="41"/>
        <v>2117.9396666666662</v>
      </c>
      <c r="L207" s="77">
        <f t="shared" si="42"/>
        <v>0</v>
      </c>
      <c r="M207" s="72">
        <f t="shared" si="44"/>
        <v>7467.2216666666654</v>
      </c>
      <c r="N207" s="72">
        <f t="shared" si="45"/>
        <v>6349.2820000000002</v>
      </c>
      <c r="O207" s="72">
        <f t="shared" si="46"/>
        <v>0</v>
      </c>
      <c r="P207" s="72">
        <f t="shared" si="47"/>
        <v>48190.718000000001</v>
      </c>
    </row>
    <row r="208" spans="2:16" ht="15" customHeight="1" x14ac:dyDescent="0.35">
      <c r="B208" s="52">
        <v>203</v>
      </c>
      <c r="C208" s="59">
        <f>'Rainfall Data'!J234</f>
        <v>46225</v>
      </c>
      <c r="D208" s="60">
        <f>'Rainfall Data'!P234</f>
        <v>10.833333333333334</v>
      </c>
      <c r="E208" s="61">
        <f t="shared" si="36"/>
        <v>1694.4849166666665</v>
      </c>
      <c r="F208" s="62">
        <f t="shared" si="43"/>
        <v>2117.9396666666662</v>
      </c>
      <c r="G208" s="63">
        <f t="shared" si="37"/>
        <v>270</v>
      </c>
      <c r="H208" s="64">
        <f t="shared" si="38"/>
        <v>270</v>
      </c>
      <c r="I208" s="65">
        <f t="shared" si="39"/>
        <v>0</v>
      </c>
      <c r="J208" s="66">
        <f t="shared" si="40"/>
        <v>0</v>
      </c>
      <c r="K208" s="61">
        <f t="shared" si="41"/>
        <v>3542.4245833333325</v>
      </c>
      <c r="L208" s="67">
        <f t="shared" si="42"/>
        <v>0.78327499999999994</v>
      </c>
      <c r="M208" s="62">
        <f t="shared" si="44"/>
        <v>9161.7065833333327</v>
      </c>
      <c r="N208" s="62">
        <f t="shared" si="45"/>
        <v>6619.2820000000002</v>
      </c>
      <c r="O208" s="62">
        <f t="shared" si="46"/>
        <v>0</v>
      </c>
      <c r="P208" s="62">
        <f t="shared" si="47"/>
        <v>48190.718000000001</v>
      </c>
    </row>
    <row r="209" spans="2:16" ht="15" customHeight="1" x14ac:dyDescent="0.35">
      <c r="B209" s="68">
        <v>204</v>
      </c>
      <c r="C209" s="69">
        <f>'Rainfall Data'!J235</f>
        <v>46226</v>
      </c>
      <c r="D209" s="70">
        <f>'Rainfall Data'!P235</f>
        <v>0</v>
      </c>
      <c r="E209" s="71">
        <f t="shared" si="36"/>
        <v>0</v>
      </c>
      <c r="F209" s="72">
        <f t="shared" si="43"/>
        <v>3542.4245833333325</v>
      </c>
      <c r="G209" s="73">
        <f t="shared" si="37"/>
        <v>270</v>
      </c>
      <c r="H209" s="74">
        <f t="shared" si="38"/>
        <v>270</v>
      </c>
      <c r="I209" s="75">
        <f t="shared" si="39"/>
        <v>0</v>
      </c>
      <c r="J209" s="76">
        <f t="shared" si="40"/>
        <v>0</v>
      </c>
      <c r="K209" s="71">
        <f t="shared" si="41"/>
        <v>3272.4245833333325</v>
      </c>
      <c r="L209" s="77">
        <f t="shared" si="42"/>
        <v>0</v>
      </c>
      <c r="M209" s="72">
        <f t="shared" si="44"/>
        <v>9161.7065833333327</v>
      </c>
      <c r="N209" s="72">
        <f t="shared" si="45"/>
        <v>6889.2820000000002</v>
      </c>
      <c r="O209" s="72">
        <f t="shared" si="46"/>
        <v>0</v>
      </c>
      <c r="P209" s="72">
        <f t="shared" si="47"/>
        <v>48190.718000000001</v>
      </c>
    </row>
    <row r="210" spans="2:16" ht="15" customHeight="1" x14ac:dyDescent="0.35">
      <c r="B210" s="52">
        <v>205</v>
      </c>
      <c r="C210" s="59">
        <f>'Rainfall Data'!J236</f>
        <v>46227</v>
      </c>
      <c r="D210" s="60">
        <f>'Rainfall Data'!P236</f>
        <v>0</v>
      </c>
      <c r="E210" s="61">
        <f t="shared" si="36"/>
        <v>0</v>
      </c>
      <c r="F210" s="62">
        <f t="shared" si="43"/>
        <v>3272.4245833333325</v>
      </c>
      <c r="G210" s="63">
        <f t="shared" si="37"/>
        <v>270</v>
      </c>
      <c r="H210" s="64">
        <f t="shared" si="38"/>
        <v>270</v>
      </c>
      <c r="I210" s="65">
        <f t="shared" si="39"/>
        <v>0</v>
      </c>
      <c r="J210" s="66">
        <f t="shared" si="40"/>
        <v>0</v>
      </c>
      <c r="K210" s="61">
        <f t="shared" si="41"/>
        <v>3002.4245833333325</v>
      </c>
      <c r="L210" s="67">
        <f t="shared" si="42"/>
        <v>0</v>
      </c>
      <c r="M210" s="62">
        <f t="shared" si="44"/>
        <v>9161.7065833333327</v>
      </c>
      <c r="N210" s="62">
        <f t="shared" si="45"/>
        <v>7159.2820000000002</v>
      </c>
      <c r="O210" s="62">
        <f t="shared" si="46"/>
        <v>0</v>
      </c>
      <c r="P210" s="62">
        <f t="shared" si="47"/>
        <v>48190.718000000001</v>
      </c>
    </row>
    <row r="211" spans="2:16" ht="15" customHeight="1" x14ac:dyDescent="0.35">
      <c r="B211" s="68">
        <v>206</v>
      </c>
      <c r="C211" s="69">
        <f>'Rainfall Data'!J237</f>
        <v>46228</v>
      </c>
      <c r="D211" s="70">
        <f>'Rainfall Data'!P237</f>
        <v>0</v>
      </c>
      <c r="E211" s="71">
        <f t="shared" si="36"/>
        <v>0</v>
      </c>
      <c r="F211" s="72">
        <f t="shared" si="43"/>
        <v>3002.4245833333325</v>
      </c>
      <c r="G211" s="73">
        <f t="shared" si="37"/>
        <v>270</v>
      </c>
      <c r="H211" s="74">
        <f t="shared" si="38"/>
        <v>270</v>
      </c>
      <c r="I211" s="75">
        <f t="shared" si="39"/>
        <v>0</v>
      </c>
      <c r="J211" s="76">
        <f t="shared" si="40"/>
        <v>0</v>
      </c>
      <c r="K211" s="71">
        <f t="shared" si="41"/>
        <v>2732.4245833333325</v>
      </c>
      <c r="L211" s="77">
        <f t="shared" si="42"/>
        <v>0</v>
      </c>
      <c r="M211" s="72">
        <f t="shared" si="44"/>
        <v>9161.7065833333327</v>
      </c>
      <c r="N211" s="72">
        <f t="shared" si="45"/>
        <v>7429.2820000000002</v>
      </c>
      <c r="O211" s="72">
        <f t="shared" si="46"/>
        <v>0</v>
      </c>
      <c r="P211" s="72">
        <f t="shared" si="47"/>
        <v>48190.718000000001</v>
      </c>
    </row>
    <row r="212" spans="2:16" ht="15" customHeight="1" x14ac:dyDescent="0.35">
      <c r="B212" s="52">
        <v>207</v>
      </c>
      <c r="C212" s="59">
        <f>'Rainfall Data'!J238</f>
        <v>46229</v>
      </c>
      <c r="D212" s="60">
        <f>'Rainfall Data'!P238</f>
        <v>0</v>
      </c>
      <c r="E212" s="61">
        <f t="shared" si="36"/>
        <v>0</v>
      </c>
      <c r="F212" s="62">
        <f t="shared" si="43"/>
        <v>2732.4245833333325</v>
      </c>
      <c r="G212" s="63">
        <f t="shared" si="37"/>
        <v>270</v>
      </c>
      <c r="H212" s="64">
        <f t="shared" si="38"/>
        <v>270</v>
      </c>
      <c r="I212" s="65">
        <f t="shared" si="39"/>
        <v>0</v>
      </c>
      <c r="J212" s="66">
        <f t="shared" si="40"/>
        <v>0</v>
      </c>
      <c r="K212" s="61">
        <f t="shared" si="41"/>
        <v>2462.4245833333325</v>
      </c>
      <c r="L212" s="67">
        <f t="shared" si="42"/>
        <v>0</v>
      </c>
      <c r="M212" s="62">
        <f t="shared" si="44"/>
        <v>9161.7065833333327</v>
      </c>
      <c r="N212" s="62">
        <f t="shared" si="45"/>
        <v>7699.2820000000002</v>
      </c>
      <c r="O212" s="62">
        <f t="shared" si="46"/>
        <v>0</v>
      </c>
      <c r="P212" s="62">
        <f t="shared" si="47"/>
        <v>48190.718000000001</v>
      </c>
    </row>
    <row r="213" spans="2:16" ht="15" customHeight="1" x14ac:dyDescent="0.35">
      <c r="B213" s="68">
        <v>208</v>
      </c>
      <c r="C213" s="69">
        <f>'Rainfall Data'!J239</f>
        <v>46230</v>
      </c>
      <c r="D213" s="70">
        <f>'Rainfall Data'!P239</f>
        <v>10.833333333333334</v>
      </c>
      <c r="E213" s="71">
        <f t="shared" si="36"/>
        <v>1694.4849166666665</v>
      </c>
      <c r="F213" s="72">
        <f t="shared" si="43"/>
        <v>2462.4245833333325</v>
      </c>
      <c r="G213" s="73">
        <f t="shared" si="37"/>
        <v>270</v>
      </c>
      <c r="H213" s="74">
        <f t="shared" si="38"/>
        <v>270</v>
      </c>
      <c r="I213" s="75">
        <f t="shared" si="39"/>
        <v>0</v>
      </c>
      <c r="J213" s="76">
        <f t="shared" si="40"/>
        <v>0</v>
      </c>
      <c r="K213" s="71">
        <f t="shared" si="41"/>
        <v>3886.9094999999988</v>
      </c>
      <c r="L213" s="77">
        <f t="shared" si="42"/>
        <v>0.78327499999999994</v>
      </c>
      <c r="M213" s="72">
        <f t="shared" si="44"/>
        <v>10856.191499999999</v>
      </c>
      <c r="N213" s="72">
        <f t="shared" si="45"/>
        <v>7969.2820000000002</v>
      </c>
      <c r="O213" s="72">
        <f t="shared" si="46"/>
        <v>0</v>
      </c>
      <c r="P213" s="72">
        <f t="shared" si="47"/>
        <v>48190.718000000001</v>
      </c>
    </row>
    <row r="214" spans="2:16" ht="15" customHeight="1" x14ac:dyDescent="0.35">
      <c r="B214" s="52">
        <v>209</v>
      </c>
      <c r="C214" s="59">
        <f>'Rainfall Data'!J240</f>
        <v>46231</v>
      </c>
      <c r="D214" s="60">
        <f>'Rainfall Data'!P240</f>
        <v>0</v>
      </c>
      <c r="E214" s="61">
        <f t="shared" si="36"/>
        <v>0</v>
      </c>
      <c r="F214" s="62">
        <f t="shared" si="43"/>
        <v>3886.9094999999988</v>
      </c>
      <c r="G214" s="63">
        <f t="shared" si="37"/>
        <v>270</v>
      </c>
      <c r="H214" s="64">
        <f t="shared" si="38"/>
        <v>270</v>
      </c>
      <c r="I214" s="65">
        <f t="shared" si="39"/>
        <v>0</v>
      </c>
      <c r="J214" s="66">
        <f t="shared" si="40"/>
        <v>0</v>
      </c>
      <c r="K214" s="61">
        <f t="shared" si="41"/>
        <v>3616.9094999999988</v>
      </c>
      <c r="L214" s="67">
        <f t="shared" si="42"/>
        <v>0</v>
      </c>
      <c r="M214" s="62">
        <f t="shared" si="44"/>
        <v>10856.191499999999</v>
      </c>
      <c r="N214" s="62">
        <f t="shared" si="45"/>
        <v>8239.2819999999992</v>
      </c>
      <c r="O214" s="62">
        <f t="shared" si="46"/>
        <v>0</v>
      </c>
      <c r="P214" s="62">
        <f t="shared" si="47"/>
        <v>48190.718000000001</v>
      </c>
    </row>
    <row r="215" spans="2:16" ht="15" customHeight="1" x14ac:dyDescent="0.35">
      <c r="B215" s="68">
        <v>210</v>
      </c>
      <c r="C215" s="69">
        <f>'Rainfall Data'!J241</f>
        <v>46232</v>
      </c>
      <c r="D215" s="70">
        <f>'Rainfall Data'!P241</f>
        <v>0</v>
      </c>
      <c r="E215" s="71">
        <f t="shared" si="36"/>
        <v>0</v>
      </c>
      <c r="F215" s="72">
        <f t="shared" si="43"/>
        <v>3616.9094999999988</v>
      </c>
      <c r="G215" s="73">
        <f t="shared" si="37"/>
        <v>270</v>
      </c>
      <c r="H215" s="74">
        <f t="shared" si="38"/>
        <v>270</v>
      </c>
      <c r="I215" s="75">
        <f t="shared" si="39"/>
        <v>0</v>
      </c>
      <c r="J215" s="76">
        <f t="shared" si="40"/>
        <v>0</v>
      </c>
      <c r="K215" s="71">
        <f t="shared" si="41"/>
        <v>3346.9094999999988</v>
      </c>
      <c r="L215" s="77">
        <f t="shared" si="42"/>
        <v>0</v>
      </c>
      <c r="M215" s="72">
        <f t="shared" si="44"/>
        <v>10856.191499999999</v>
      </c>
      <c r="N215" s="72">
        <f t="shared" si="45"/>
        <v>8509.2819999999992</v>
      </c>
      <c r="O215" s="72">
        <f t="shared" si="46"/>
        <v>0</v>
      </c>
      <c r="P215" s="72">
        <f t="shared" si="47"/>
        <v>48190.718000000001</v>
      </c>
    </row>
    <row r="216" spans="2:16" ht="15" customHeight="1" x14ac:dyDescent="0.35">
      <c r="B216" s="52">
        <v>211</v>
      </c>
      <c r="C216" s="59">
        <f>'Rainfall Data'!J242</f>
        <v>46233</v>
      </c>
      <c r="D216" s="60">
        <f>'Rainfall Data'!P242</f>
        <v>0</v>
      </c>
      <c r="E216" s="61">
        <f t="shared" si="36"/>
        <v>0</v>
      </c>
      <c r="F216" s="62">
        <f t="shared" si="43"/>
        <v>3346.9094999999988</v>
      </c>
      <c r="G216" s="63">
        <f t="shared" si="37"/>
        <v>270</v>
      </c>
      <c r="H216" s="64">
        <f t="shared" si="38"/>
        <v>270</v>
      </c>
      <c r="I216" s="65">
        <f t="shared" si="39"/>
        <v>0</v>
      </c>
      <c r="J216" s="66">
        <f t="shared" si="40"/>
        <v>0</v>
      </c>
      <c r="K216" s="61">
        <f t="shared" si="41"/>
        <v>3076.9094999999988</v>
      </c>
      <c r="L216" s="67">
        <f t="shared" si="42"/>
        <v>0</v>
      </c>
      <c r="M216" s="62">
        <f t="shared" si="44"/>
        <v>10856.191499999999</v>
      </c>
      <c r="N216" s="62">
        <f t="shared" si="45"/>
        <v>8779.2819999999992</v>
      </c>
      <c r="O216" s="62">
        <f t="shared" si="46"/>
        <v>0</v>
      </c>
      <c r="P216" s="62">
        <f t="shared" si="47"/>
        <v>48190.718000000001</v>
      </c>
    </row>
    <row r="217" spans="2:16" ht="15" customHeight="1" x14ac:dyDescent="0.35">
      <c r="B217" s="68">
        <v>212</v>
      </c>
      <c r="C217" s="69">
        <f>'Rainfall Data'!J243</f>
        <v>46234</v>
      </c>
      <c r="D217" s="70">
        <f>'Rainfall Data'!P243</f>
        <v>0</v>
      </c>
      <c r="E217" s="71">
        <f t="shared" si="36"/>
        <v>0</v>
      </c>
      <c r="F217" s="72">
        <f t="shared" si="43"/>
        <v>3076.9094999999988</v>
      </c>
      <c r="G217" s="73">
        <f t="shared" si="37"/>
        <v>270</v>
      </c>
      <c r="H217" s="74">
        <f t="shared" si="38"/>
        <v>270</v>
      </c>
      <c r="I217" s="75">
        <f t="shared" si="39"/>
        <v>0</v>
      </c>
      <c r="J217" s="76">
        <f t="shared" si="40"/>
        <v>0</v>
      </c>
      <c r="K217" s="71">
        <f t="shared" si="41"/>
        <v>2806.9094999999988</v>
      </c>
      <c r="L217" s="77">
        <f t="shared" si="42"/>
        <v>0</v>
      </c>
      <c r="M217" s="72">
        <f t="shared" si="44"/>
        <v>10856.191499999999</v>
      </c>
      <c r="N217" s="72">
        <f t="shared" si="45"/>
        <v>9049.2819999999992</v>
      </c>
      <c r="O217" s="72">
        <f t="shared" si="46"/>
        <v>0</v>
      </c>
      <c r="P217" s="72">
        <f t="shared" si="47"/>
        <v>48190.718000000001</v>
      </c>
    </row>
    <row r="218" spans="2:16" ht="15" customHeight="1" x14ac:dyDescent="0.35">
      <c r="B218" s="52">
        <v>213</v>
      </c>
      <c r="C218" s="59">
        <f>'Rainfall Data'!J244</f>
        <v>46235</v>
      </c>
      <c r="D218" s="60">
        <f>'Rainfall Data'!P244</f>
        <v>0</v>
      </c>
      <c r="E218" s="61">
        <f t="shared" si="36"/>
        <v>0</v>
      </c>
      <c r="F218" s="62">
        <f t="shared" si="43"/>
        <v>2806.9094999999988</v>
      </c>
      <c r="G218" s="63">
        <f t="shared" si="37"/>
        <v>270</v>
      </c>
      <c r="H218" s="64">
        <f t="shared" si="38"/>
        <v>270</v>
      </c>
      <c r="I218" s="65">
        <f t="shared" si="39"/>
        <v>0</v>
      </c>
      <c r="J218" s="66">
        <f t="shared" si="40"/>
        <v>0</v>
      </c>
      <c r="K218" s="61">
        <f t="shared" si="41"/>
        <v>2536.9094999999988</v>
      </c>
      <c r="L218" s="67">
        <f t="shared" si="42"/>
        <v>0</v>
      </c>
      <c r="M218" s="62">
        <f t="shared" si="44"/>
        <v>10856.191499999999</v>
      </c>
      <c r="N218" s="62">
        <f t="shared" si="45"/>
        <v>9319.2819999999992</v>
      </c>
      <c r="O218" s="62">
        <f t="shared" si="46"/>
        <v>0</v>
      </c>
      <c r="P218" s="62">
        <f t="shared" si="47"/>
        <v>48190.718000000001</v>
      </c>
    </row>
    <row r="219" spans="2:16" ht="15" customHeight="1" x14ac:dyDescent="0.35">
      <c r="B219" s="68">
        <v>214</v>
      </c>
      <c r="C219" s="69">
        <f>'Rainfall Data'!J245</f>
        <v>46236</v>
      </c>
      <c r="D219" s="70">
        <f>'Rainfall Data'!P245</f>
        <v>0</v>
      </c>
      <c r="E219" s="71">
        <f t="shared" si="36"/>
        <v>0</v>
      </c>
      <c r="F219" s="72">
        <f t="shared" si="43"/>
        <v>2536.9094999999988</v>
      </c>
      <c r="G219" s="73">
        <f t="shared" si="37"/>
        <v>270</v>
      </c>
      <c r="H219" s="74">
        <f t="shared" si="38"/>
        <v>270</v>
      </c>
      <c r="I219" s="75">
        <f t="shared" si="39"/>
        <v>0</v>
      </c>
      <c r="J219" s="76">
        <f t="shared" si="40"/>
        <v>0</v>
      </c>
      <c r="K219" s="71">
        <f t="shared" si="41"/>
        <v>2266.9094999999988</v>
      </c>
      <c r="L219" s="77">
        <f t="shared" si="42"/>
        <v>0</v>
      </c>
      <c r="M219" s="72">
        <f t="shared" si="44"/>
        <v>10856.191499999999</v>
      </c>
      <c r="N219" s="72">
        <f t="shared" si="45"/>
        <v>9589.2819999999992</v>
      </c>
      <c r="O219" s="72">
        <f t="shared" si="46"/>
        <v>0</v>
      </c>
      <c r="P219" s="72">
        <f t="shared" si="47"/>
        <v>48190.718000000001</v>
      </c>
    </row>
    <row r="220" spans="2:16" ht="15" customHeight="1" x14ac:dyDescent="0.35">
      <c r="B220" s="52">
        <v>215</v>
      </c>
      <c r="C220" s="59">
        <f>'Rainfall Data'!J246</f>
        <v>46237</v>
      </c>
      <c r="D220" s="60">
        <f>'Rainfall Data'!P246</f>
        <v>0</v>
      </c>
      <c r="E220" s="61">
        <f t="shared" si="36"/>
        <v>0</v>
      </c>
      <c r="F220" s="62">
        <f t="shared" si="43"/>
        <v>2266.9094999999988</v>
      </c>
      <c r="G220" s="63">
        <f t="shared" si="37"/>
        <v>270</v>
      </c>
      <c r="H220" s="64">
        <f t="shared" si="38"/>
        <v>270</v>
      </c>
      <c r="I220" s="65">
        <f t="shared" si="39"/>
        <v>0</v>
      </c>
      <c r="J220" s="66">
        <f t="shared" si="40"/>
        <v>0</v>
      </c>
      <c r="K220" s="61">
        <f t="shared" si="41"/>
        <v>1996.9094999999988</v>
      </c>
      <c r="L220" s="67">
        <f t="shared" si="42"/>
        <v>0</v>
      </c>
      <c r="M220" s="62">
        <f t="shared" si="44"/>
        <v>10856.191499999999</v>
      </c>
      <c r="N220" s="62">
        <f t="shared" si="45"/>
        <v>9859.2819999999992</v>
      </c>
      <c r="O220" s="62">
        <f t="shared" si="46"/>
        <v>0</v>
      </c>
      <c r="P220" s="62">
        <f t="shared" si="47"/>
        <v>48190.718000000001</v>
      </c>
    </row>
    <row r="221" spans="2:16" ht="15" customHeight="1" x14ac:dyDescent="0.35">
      <c r="B221" s="68">
        <v>216</v>
      </c>
      <c r="C221" s="69">
        <f>'Rainfall Data'!J247</f>
        <v>46238</v>
      </c>
      <c r="D221" s="70">
        <f>'Rainfall Data'!P247</f>
        <v>0</v>
      </c>
      <c r="E221" s="71">
        <f t="shared" si="36"/>
        <v>0</v>
      </c>
      <c r="F221" s="72">
        <f t="shared" si="43"/>
        <v>1996.9094999999988</v>
      </c>
      <c r="G221" s="73">
        <f t="shared" si="37"/>
        <v>270</v>
      </c>
      <c r="H221" s="74">
        <f t="shared" si="38"/>
        <v>270</v>
      </c>
      <c r="I221" s="75">
        <f t="shared" si="39"/>
        <v>0</v>
      </c>
      <c r="J221" s="76">
        <f t="shared" si="40"/>
        <v>0</v>
      </c>
      <c r="K221" s="71">
        <f t="shared" si="41"/>
        <v>1726.9094999999988</v>
      </c>
      <c r="L221" s="77">
        <f t="shared" si="42"/>
        <v>0</v>
      </c>
      <c r="M221" s="72">
        <f t="shared" si="44"/>
        <v>10856.191499999999</v>
      </c>
      <c r="N221" s="72">
        <f t="shared" si="45"/>
        <v>10129.281999999999</v>
      </c>
      <c r="O221" s="72">
        <f t="shared" si="46"/>
        <v>0</v>
      </c>
      <c r="P221" s="72">
        <f t="shared" si="47"/>
        <v>48190.718000000001</v>
      </c>
    </row>
    <row r="222" spans="2:16" ht="15" customHeight="1" x14ac:dyDescent="0.35">
      <c r="B222" s="52">
        <v>217</v>
      </c>
      <c r="C222" s="59">
        <f>'Rainfall Data'!J248</f>
        <v>46239</v>
      </c>
      <c r="D222" s="60">
        <f>'Rainfall Data'!P248</f>
        <v>11.4</v>
      </c>
      <c r="E222" s="61">
        <f t="shared" si="36"/>
        <v>1792.1331999999998</v>
      </c>
      <c r="F222" s="62">
        <f t="shared" si="43"/>
        <v>1726.9094999999988</v>
      </c>
      <c r="G222" s="63">
        <f t="shared" si="37"/>
        <v>270</v>
      </c>
      <c r="H222" s="64">
        <f t="shared" si="38"/>
        <v>270</v>
      </c>
      <c r="I222" s="65">
        <f t="shared" si="39"/>
        <v>0</v>
      </c>
      <c r="J222" s="66">
        <f t="shared" si="40"/>
        <v>0</v>
      </c>
      <c r="K222" s="61">
        <f t="shared" si="41"/>
        <v>3249.0426999999986</v>
      </c>
      <c r="L222" s="67">
        <f t="shared" si="42"/>
        <v>0.78327499999999994</v>
      </c>
      <c r="M222" s="62">
        <f t="shared" si="44"/>
        <v>12648.324699999999</v>
      </c>
      <c r="N222" s="62">
        <f t="shared" si="45"/>
        <v>10399.281999999999</v>
      </c>
      <c r="O222" s="62">
        <f t="shared" si="46"/>
        <v>0</v>
      </c>
      <c r="P222" s="62">
        <f t="shared" si="47"/>
        <v>48190.718000000001</v>
      </c>
    </row>
    <row r="223" spans="2:16" ht="15" customHeight="1" x14ac:dyDescent="0.35">
      <c r="B223" s="68">
        <v>218</v>
      </c>
      <c r="C223" s="69">
        <f>'Rainfall Data'!J249</f>
        <v>46240</v>
      </c>
      <c r="D223" s="70">
        <f>'Rainfall Data'!P249</f>
        <v>0</v>
      </c>
      <c r="E223" s="71">
        <f t="shared" si="36"/>
        <v>0</v>
      </c>
      <c r="F223" s="72">
        <f t="shared" si="43"/>
        <v>3249.0426999999986</v>
      </c>
      <c r="G223" s="73">
        <f t="shared" si="37"/>
        <v>270</v>
      </c>
      <c r="H223" s="74">
        <f t="shared" si="38"/>
        <v>270</v>
      </c>
      <c r="I223" s="75">
        <f t="shared" si="39"/>
        <v>0</v>
      </c>
      <c r="J223" s="76">
        <f t="shared" si="40"/>
        <v>0</v>
      </c>
      <c r="K223" s="71">
        <f t="shared" si="41"/>
        <v>2979.0426999999986</v>
      </c>
      <c r="L223" s="77">
        <f t="shared" si="42"/>
        <v>0</v>
      </c>
      <c r="M223" s="72">
        <f t="shared" si="44"/>
        <v>12648.324699999999</v>
      </c>
      <c r="N223" s="72">
        <f t="shared" si="45"/>
        <v>10669.281999999999</v>
      </c>
      <c r="O223" s="72">
        <f t="shared" si="46"/>
        <v>0</v>
      </c>
      <c r="P223" s="72">
        <f t="shared" si="47"/>
        <v>48190.718000000001</v>
      </c>
    </row>
    <row r="224" spans="2:16" ht="15" customHeight="1" x14ac:dyDescent="0.35">
      <c r="B224" s="52">
        <v>219</v>
      </c>
      <c r="C224" s="59">
        <f>'Rainfall Data'!J250</f>
        <v>46241</v>
      </c>
      <c r="D224" s="60">
        <f>'Rainfall Data'!P250</f>
        <v>0</v>
      </c>
      <c r="E224" s="61">
        <f t="shared" si="36"/>
        <v>0</v>
      </c>
      <c r="F224" s="62">
        <f t="shared" si="43"/>
        <v>2979.0426999999986</v>
      </c>
      <c r="G224" s="63">
        <f t="shared" si="37"/>
        <v>270</v>
      </c>
      <c r="H224" s="64">
        <f t="shared" si="38"/>
        <v>270</v>
      </c>
      <c r="I224" s="65">
        <f t="shared" si="39"/>
        <v>0</v>
      </c>
      <c r="J224" s="66">
        <f t="shared" si="40"/>
        <v>0</v>
      </c>
      <c r="K224" s="61">
        <f t="shared" si="41"/>
        <v>2709.0426999999986</v>
      </c>
      <c r="L224" s="67">
        <f t="shared" si="42"/>
        <v>0</v>
      </c>
      <c r="M224" s="62">
        <f t="shared" si="44"/>
        <v>12648.324699999999</v>
      </c>
      <c r="N224" s="62">
        <f t="shared" si="45"/>
        <v>10939.281999999999</v>
      </c>
      <c r="O224" s="62">
        <f t="shared" si="46"/>
        <v>0</v>
      </c>
      <c r="P224" s="62">
        <f t="shared" si="47"/>
        <v>48190.718000000001</v>
      </c>
    </row>
    <row r="225" spans="2:16" ht="15" customHeight="1" x14ac:dyDescent="0.35">
      <c r="B225" s="68">
        <v>220</v>
      </c>
      <c r="C225" s="69">
        <f>'Rainfall Data'!J251</f>
        <v>46242</v>
      </c>
      <c r="D225" s="70">
        <f>'Rainfall Data'!P251</f>
        <v>0</v>
      </c>
      <c r="E225" s="71">
        <f t="shared" si="36"/>
        <v>0</v>
      </c>
      <c r="F225" s="72">
        <f t="shared" si="43"/>
        <v>2709.0426999999986</v>
      </c>
      <c r="G225" s="73">
        <f t="shared" si="37"/>
        <v>270</v>
      </c>
      <c r="H225" s="74">
        <f t="shared" si="38"/>
        <v>270</v>
      </c>
      <c r="I225" s="75">
        <f t="shared" si="39"/>
        <v>0</v>
      </c>
      <c r="J225" s="76">
        <f t="shared" si="40"/>
        <v>0</v>
      </c>
      <c r="K225" s="71">
        <f t="shared" si="41"/>
        <v>2439.0426999999986</v>
      </c>
      <c r="L225" s="77">
        <f t="shared" si="42"/>
        <v>0</v>
      </c>
      <c r="M225" s="72">
        <f t="shared" si="44"/>
        <v>12648.324699999999</v>
      </c>
      <c r="N225" s="72">
        <f t="shared" si="45"/>
        <v>11209.281999999999</v>
      </c>
      <c r="O225" s="72">
        <f t="shared" si="46"/>
        <v>0</v>
      </c>
      <c r="P225" s="72">
        <f t="shared" si="47"/>
        <v>48190.718000000001</v>
      </c>
    </row>
    <row r="226" spans="2:16" ht="15" customHeight="1" x14ac:dyDescent="0.35">
      <c r="B226" s="52">
        <v>221</v>
      </c>
      <c r="C226" s="59">
        <f>'Rainfall Data'!J252</f>
        <v>46243</v>
      </c>
      <c r="D226" s="60">
        <f>'Rainfall Data'!P252</f>
        <v>0</v>
      </c>
      <c r="E226" s="61">
        <f t="shared" si="36"/>
        <v>0</v>
      </c>
      <c r="F226" s="62">
        <f t="shared" si="43"/>
        <v>2439.0426999999986</v>
      </c>
      <c r="G226" s="63">
        <f t="shared" si="37"/>
        <v>270</v>
      </c>
      <c r="H226" s="64">
        <f t="shared" si="38"/>
        <v>270</v>
      </c>
      <c r="I226" s="65">
        <f t="shared" si="39"/>
        <v>0</v>
      </c>
      <c r="J226" s="66">
        <f t="shared" si="40"/>
        <v>0</v>
      </c>
      <c r="K226" s="61">
        <f t="shared" si="41"/>
        <v>2169.0426999999986</v>
      </c>
      <c r="L226" s="67">
        <f t="shared" si="42"/>
        <v>0</v>
      </c>
      <c r="M226" s="62">
        <f t="shared" si="44"/>
        <v>12648.324699999999</v>
      </c>
      <c r="N226" s="62">
        <f t="shared" si="45"/>
        <v>11479.281999999999</v>
      </c>
      <c r="O226" s="62">
        <f t="shared" si="46"/>
        <v>0</v>
      </c>
      <c r="P226" s="62">
        <f t="shared" si="47"/>
        <v>48190.718000000001</v>
      </c>
    </row>
    <row r="227" spans="2:16" ht="15" customHeight="1" x14ac:dyDescent="0.35">
      <c r="B227" s="68">
        <v>222</v>
      </c>
      <c r="C227" s="69">
        <f>'Rainfall Data'!J253</f>
        <v>46244</v>
      </c>
      <c r="D227" s="70">
        <f>'Rainfall Data'!P253</f>
        <v>11.4</v>
      </c>
      <c r="E227" s="71">
        <f t="shared" si="36"/>
        <v>1792.1331999999998</v>
      </c>
      <c r="F227" s="72">
        <f t="shared" si="43"/>
        <v>2169.0426999999986</v>
      </c>
      <c r="G227" s="73">
        <f t="shared" si="37"/>
        <v>270</v>
      </c>
      <c r="H227" s="74">
        <f t="shared" si="38"/>
        <v>270</v>
      </c>
      <c r="I227" s="75">
        <f t="shared" si="39"/>
        <v>0</v>
      </c>
      <c r="J227" s="76">
        <f t="shared" si="40"/>
        <v>0</v>
      </c>
      <c r="K227" s="71">
        <f t="shared" si="41"/>
        <v>3691.1758999999984</v>
      </c>
      <c r="L227" s="77">
        <f t="shared" si="42"/>
        <v>0.78327499999999994</v>
      </c>
      <c r="M227" s="72">
        <f t="shared" si="44"/>
        <v>14440.457899999999</v>
      </c>
      <c r="N227" s="72">
        <f t="shared" si="45"/>
        <v>11749.281999999999</v>
      </c>
      <c r="O227" s="72">
        <f t="shared" si="46"/>
        <v>0</v>
      </c>
      <c r="P227" s="72">
        <f t="shared" si="47"/>
        <v>48190.718000000001</v>
      </c>
    </row>
    <row r="228" spans="2:16" ht="15" customHeight="1" x14ac:dyDescent="0.35">
      <c r="B228" s="52">
        <v>223</v>
      </c>
      <c r="C228" s="59">
        <f>'Rainfall Data'!J254</f>
        <v>46245</v>
      </c>
      <c r="D228" s="60">
        <f>'Rainfall Data'!P254</f>
        <v>0</v>
      </c>
      <c r="E228" s="61">
        <f t="shared" si="36"/>
        <v>0</v>
      </c>
      <c r="F228" s="62">
        <f t="shared" si="43"/>
        <v>3691.1758999999984</v>
      </c>
      <c r="G228" s="63">
        <f t="shared" si="37"/>
        <v>270</v>
      </c>
      <c r="H228" s="64">
        <f t="shared" si="38"/>
        <v>270</v>
      </c>
      <c r="I228" s="65">
        <f t="shared" si="39"/>
        <v>0</v>
      </c>
      <c r="J228" s="66">
        <f t="shared" si="40"/>
        <v>0</v>
      </c>
      <c r="K228" s="61">
        <f t="shared" si="41"/>
        <v>3421.1758999999984</v>
      </c>
      <c r="L228" s="67">
        <f t="shared" si="42"/>
        <v>0</v>
      </c>
      <c r="M228" s="62">
        <f t="shared" si="44"/>
        <v>14440.457899999999</v>
      </c>
      <c r="N228" s="62">
        <f t="shared" si="45"/>
        <v>12019.281999999999</v>
      </c>
      <c r="O228" s="62">
        <f t="shared" si="46"/>
        <v>0</v>
      </c>
      <c r="P228" s="62">
        <f t="shared" si="47"/>
        <v>48190.718000000001</v>
      </c>
    </row>
    <row r="229" spans="2:16" ht="15" customHeight="1" x14ac:dyDescent="0.35">
      <c r="B229" s="68">
        <v>224</v>
      </c>
      <c r="C229" s="69">
        <f>'Rainfall Data'!J255</f>
        <v>46246</v>
      </c>
      <c r="D229" s="70">
        <f>'Rainfall Data'!P255</f>
        <v>0</v>
      </c>
      <c r="E229" s="71">
        <f t="shared" si="36"/>
        <v>0</v>
      </c>
      <c r="F229" s="72">
        <f t="shared" si="43"/>
        <v>3421.1758999999984</v>
      </c>
      <c r="G229" s="73">
        <f t="shared" si="37"/>
        <v>270</v>
      </c>
      <c r="H229" s="74">
        <f t="shared" si="38"/>
        <v>270</v>
      </c>
      <c r="I229" s="75">
        <f t="shared" si="39"/>
        <v>0</v>
      </c>
      <c r="J229" s="76">
        <f t="shared" si="40"/>
        <v>0</v>
      </c>
      <c r="K229" s="71">
        <f t="shared" si="41"/>
        <v>3151.1758999999984</v>
      </c>
      <c r="L229" s="77">
        <f t="shared" si="42"/>
        <v>0</v>
      </c>
      <c r="M229" s="72">
        <f t="shared" si="44"/>
        <v>14440.457899999999</v>
      </c>
      <c r="N229" s="72">
        <f t="shared" si="45"/>
        <v>12289.281999999999</v>
      </c>
      <c r="O229" s="72">
        <f t="shared" si="46"/>
        <v>0</v>
      </c>
      <c r="P229" s="72">
        <f t="shared" si="47"/>
        <v>48190.718000000001</v>
      </c>
    </row>
    <row r="230" spans="2:16" ht="15" customHeight="1" x14ac:dyDescent="0.35">
      <c r="B230" s="52">
        <v>225</v>
      </c>
      <c r="C230" s="59">
        <f>'Rainfall Data'!J256</f>
        <v>46247</v>
      </c>
      <c r="D230" s="60">
        <f>'Rainfall Data'!P256</f>
        <v>0</v>
      </c>
      <c r="E230" s="61">
        <f t="shared" si="36"/>
        <v>0</v>
      </c>
      <c r="F230" s="62">
        <f t="shared" si="43"/>
        <v>3151.1758999999984</v>
      </c>
      <c r="G230" s="63">
        <f t="shared" si="37"/>
        <v>270</v>
      </c>
      <c r="H230" s="64">
        <f t="shared" si="38"/>
        <v>270</v>
      </c>
      <c r="I230" s="65">
        <f t="shared" si="39"/>
        <v>0</v>
      </c>
      <c r="J230" s="66">
        <f t="shared" si="40"/>
        <v>0</v>
      </c>
      <c r="K230" s="61">
        <f t="shared" si="41"/>
        <v>2881.1758999999984</v>
      </c>
      <c r="L230" s="67">
        <f t="shared" si="42"/>
        <v>0</v>
      </c>
      <c r="M230" s="62">
        <f t="shared" si="44"/>
        <v>14440.457899999999</v>
      </c>
      <c r="N230" s="62">
        <f t="shared" si="45"/>
        <v>12559.281999999999</v>
      </c>
      <c r="O230" s="62">
        <f t="shared" si="46"/>
        <v>0</v>
      </c>
      <c r="P230" s="62">
        <f t="shared" si="47"/>
        <v>48190.718000000001</v>
      </c>
    </row>
    <row r="231" spans="2:16" ht="15" customHeight="1" x14ac:dyDescent="0.35">
      <c r="B231" s="68">
        <v>226</v>
      </c>
      <c r="C231" s="69">
        <f>'Rainfall Data'!J257</f>
        <v>46248</v>
      </c>
      <c r="D231" s="70">
        <f>'Rainfall Data'!P257</f>
        <v>0</v>
      </c>
      <c r="E231" s="71">
        <f t="shared" si="36"/>
        <v>0</v>
      </c>
      <c r="F231" s="72">
        <f t="shared" si="43"/>
        <v>2881.1758999999984</v>
      </c>
      <c r="G231" s="73">
        <f t="shared" si="37"/>
        <v>270</v>
      </c>
      <c r="H231" s="74">
        <f t="shared" si="38"/>
        <v>270</v>
      </c>
      <c r="I231" s="75">
        <f t="shared" si="39"/>
        <v>0</v>
      </c>
      <c r="J231" s="76">
        <f t="shared" si="40"/>
        <v>0</v>
      </c>
      <c r="K231" s="71">
        <f t="shared" si="41"/>
        <v>2611.1758999999984</v>
      </c>
      <c r="L231" s="77">
        <f t="shared" si="42"/>
        <v>0</v>
      </c>
      <c r="M231" s="72">
        <f t="shared" si="44"/>
        <v>14440.457899999999</v>
      </c>
      <c r="N231" s="72">
        <f t="shared" si="45"/>
        <v>12829.281999999999</v>
      </c>
      <c r="O231" s="72">
        <f t="shared" si="46"/>
        <v>0</v>
      </c>
      <c r="P231" s="72">
        <f t="shared" si="47"/>
        <v>48190.718000000001</v>
      </c>
    </row>
    <row r="232" spans="2:16" ht="15" customHeight="1" x14ac:dyDescent="0.35">
      <c r="B232" s="52">
        <v>227</v>
      </c>
      <c r="C232" s="59">
        <f>'Rainfall Data'!J258</f>
        <v>46249</v>
      </c>
      <c r="D232" s="60">
        <f>'Rainfall Data'!P258</f>
        <v>0</v>
      </c>
      <c r="E232" s="61">
        <f t="shared" si="36"/>
        <v>0</v>
      </c>
      <c r="F232" s="62">
        <f t="shared" si="43"/>
        <v>2611.1758999999984</v>
      </c>
      <c r="G232" s="63">
        <f t="shared" si="37"/>
        <v>270</v>
      </c>
      <c r="H232" s="64">
        <f t="shared" si="38"/>
        <v>270</v>
      </c>
      <c r="I232" s="65">
        <f t="shared" si="39"/>
        <v>0</v>
      </c>
      <c r="J232" s="66">
        <f t="shared" si="40"/>
        <v>0</v>
      </c>
      <c r="K232" s="61">
        <f t="shared" si="41"/>
        <v>2341.1758999999984</v>
      </c>
      <c r="L232" s="67">
        <f t="shared" si="42"/>
        <v>0</v>
      </c>
      <c r="M232" s="62">
        <f t="shared" si="44"/>
        <v>14440.457899999999</v>
      </c>
      <c r="N232" s="62">
        <f t="shared" si="45"/>
        <v>13099.281999999999</v>
      </c>
      <c r="O232" s="62">
        <f t="shared" si="46"/>
        <v>0</v>
      </c>
      <c r="P232" s="62">
        <f t="shared" si="47"/>
        <v>48190.718000000001</v>
      </c>
    </row>
    <row r="233" spans="2:16" ht="15" customHeight="1" x14ac:dyDescent="0.35">
      <c r="B233" s="68">
        <v>228</v>
      </c>
      <c r="C233" s="69">
        <f>'Rainfall Data'!J259</f>
        <v>46250</v>
      </c>
      <c r="D233" s="70">
        <f>'Rainfall Data'!P259</f>
        <v>11.4</v>
      </c>
      <c r="E233" s="71">
        <f t="shared" si="36"/>
        <v>1792.1331999999998</v>
      </c>
      <c r="F233" s="72">
        <f t="shared" si="43"/>
        <v>2341.1758999999984</v>
      </c>
      <c r="G233" s="73">
        <f t="shared" si="37"/>
        <v>270</v>
      </c>
      <c r="H233" s="74">
        <f t="shared" si="38"/>
        <v>270</v>
      </c>
      <c r="I233" s="75">
        <f t="shared" si="39"/>
        <v>0</v>
      </c>
      <c r="J233" s="76">
        <f t="shared" si="40"/>
        <v>0</v>
      </c>
      <c r="K233" s="71">
        <f t="shared" si="41"/>
        <v>3863.3090999999986</v>
      </c>
      <c r="L233" s="77">
        <f t="shared" si="42"/>
        <v>0.78327499999999994</v>
      </c>
      <c r="M233" s="72">
        <f t="shared" si="44"/>
        <v>16232.5911</v>
      </c>
      <c r="N233" s="72">
        <f t="shared" si="45"/>
        <v>13369.281999999999</v>
      </c>
      <c r="O233" s="72">
        <f t="shared" si="46"/>
        <v>0</v>
      </c>
      <c r="P233" s="72">
        <f t="shared" si="47"/>
        <v>48190.718000000001</v>
      </c>
    </row>
    <row r="234" spans="2:16" ht="15" customHeight="1" x14ac:dyDescent="0.35">
      <c r="B234" s="52">
        <v>229</v>
      </c>
      <c r="C234" s="59">
        <f>'Rainfall Data'!J260</f>
        <v>46251</v>
      </c>
      <c r="D234" s="60">
        <f>'Rainfall Data'!P260</f>
        <v>0</v>
      </c>
      <c r="E234" s="61">
        <f t="shared" si="36"/>
        <v>0</v>
      </c>
      <c r="F234" s="62">
        <f t="shared" si="43"/>
        <v>3863.3090999999986</v>
      </c>
      <c r="G234" s="63">
        <f t="shared" si="37"/>
        <v>270</v>
      </c>
      <c r="H234" s="64">
        <f t="shared" si="38"/>
        <v>270</v>
      </c>
      <c r="I234" s="65">
        <f t="shared" si="39"/>
        <v>0</v>
      </c>
      <c r="J234" s="66">
        <f t="shared" si="40"/>
        <v>0</v>
      </c>
      <c r="K234" s="61">
        <f t="shared" si="41"/>
        <v>3593.3090999999986</v>
      </c>
      <c r="L234" s="67">
        <f t="shared" si="42"/>
        <v>0</v>
      </c>
      <c r="M234" s="62">
        <f t="shared" si="44"/>
        <v>16232.5911</v>
      </c>
      <c r="N234" s="62">
        <f t="shared" si="45"/>
        <v>13639.281999999999</v>
      </c>
      <c r="O234" s="62">
        <f t="shared" si="46"/>
        <v>0</v>
      </c>
      <c r="P234" s="62">
        <f t="shared" si="47"/>
        <v>48190.718000000001</v>
      </c>
    </row>
    <row r="235" spans="2:16" ht="15" customHeight="1" x14ac:dyDescent="0.35">
      <c r="B235" s="68">
        <v>230</v>
      </c>
      <c r="C235" s="69">
        <f>'Rainfall Data'!J261</f>
        <v>46252</v>
      </c>
      <c r="D235" s="70">
        <f>'Rainfall Data'!P261</f>
        <v>0</v>
      </c>
      <c r="E235" s="71">
        <f t="shared" si="36"/>
        <v>0</v>
      </c>
      <c r="F235" s="72">
        <f t="shared" si="43"/>
        <v>3593.3090999999986</v>
      </c>
      <c r="G235" s="73">
        <f t="shared" si="37"/>
        <v>270</v>
      </c>
      <c r="H235" s="74">
        <f t="shared" si="38"/>
        <v>270</v>
      </c>
      <c r="I235" s="75">
        <f t="shared" si="39"/>
        <v>0</v>
      </c>
      <c r="J235" s="76">
        <f t="shared" si="40"/>
        <v>0</v>
      </c>
      <c r="K235" s="71">
        <f t="shared" si="41"/>
        <v>3323.3090999999986</v>
      </c>
      <c r="L235" s="77">
        <f t="shared" si="42"/>
        <v>0</v>
      </c>
      <c r="M235" s="72">
        <f t="shared" si="44"/>
        <v>16232.5911</v>
      </c>
      <c r="N235" s="72">
        <f t="shared" si="45"/>
        <v>13909.281999999999</v>
      </c>
      <c r="O235" s="72">
        <f t="shared" si="46"/>
        <v>0</v>
      </c>
      <c r="P235" s="72">
        <f t="shared" si="47"/>
        <v>48190.718000000001</v>
      </c>
    </row>
    <row r="236" spans="2:16" ht="15" customHeight="1" x14ac:dyDescent="0.35">
      <c r="B236" s="52">
        <v>231</v>
      </c>
      <c r="C236" s="59">
        <f>'Rainfall Data'!J262</f>
        <v>46253</v>
      </c>
      <c r="D236" s="60">
        <f>'Rainfall Data'!P262</f>
        <v>0</v>
      </c>
      <c r="E236" s="61">
        <f t="shared" si="36"/>
        <v>0</v>
      </c>
      <c r="F236" s="62">
        <f t="shared" si="43"/>
        <v>3323.3090999999986</v>
      </c>
      <c r="G236" s="63">
        <f t="shared" si="37"/>
        <v>270</v>
      </c>
      <c r="H236" s="64">
        <f t="shared" si="38"/>
        <v>270</v>
      </c>
      <c r="I236" s="65">
        <f t="shared" si="39"/>
        <v>0</v>
      </c>
      <c r="J236" s="66">
        <f t="shared" si="40"/>
        <v>0</v>
      </c>
      <c r="K236" s="61">
        <f t="shared" si="41"/>
        <v>3053.3090999999986</v>
      </c>
      <c r="L236" s="67">
        <f t="shared" si="42"/>
        <v>0</v>
      </c>
      <c r="M236" s="62">
        <f t="shared" si="44"/>
        <v>16232.5911</v>
      </c>
      <c r="N236" s="62">
        <f t="shared" si="45"/>
        <v>14179.281999999999</v>
      </c>
      <c r="O236" s="62">
        <f t="shared" si="46"/>
        <v>0</v>
      </c>
      <c r="P236" s="62">
        <f t="shared" si="47"/>
        <v>48190.718000000001</v>
      </c>
    </row>
    <row r="237" spans="2:16" ht="15" customHeight="1" x14ac:dyDescent="0.35">
      <c r="B237" s="68">
        <v>232</v>
      </c>
      <c r="C237" s="69">
        <f>'Rainfall Data'!J263</f>
        <v>46254</v>
      </c>
      <c r="D237" s="70">
        <f>'Rainfall Data'!P263</f>
        <v>0</v>
      </c>
      <c r="E237" s="71">
        <f t="shared" si="36"/>
        <v>0</v>
      </c>
      <c r="F237" s="72">
        <f t="shared" si="43"/>
        <v>3053.3090999999986</v>
      </c>
      <c r="G237" s="73">
        <f t="shared" si="37"/>
        <v>270</v>
      </c>
      <c r="H237" s="74">
        <f t="shared" si="38"/>
        <v>270</v>
      </c>
      <c r="I237" s="75">
        <f t="shared" si="39"/>
        <v>0</v>
      </c>
      <c r="J237" s="76">
        <f t="shared" si="40"/>
        <v>0</v>
      </c>
      <c r="K237" s="71">
        <f t="shared" si="41"/>
        <v>2783.3090999999986</v>
      </c>
      <c r="L237" s="77">
        <f t="shared" si="42"/>
        <v>0</v>
      </c>
      <c r="M237" s="72">
        <f t="shared" si="44"/>
        <v>16232.5911</v>
      </c>
      <c r="N237" s="72">
        <f t="shared" si="45"/>
        <v>14449.281999999999</v>
      </c>
      <c r="O237" s="72">
        <f t="shared" si="46"/>
        <v>0</v>
      </c>
      <c r="P237" s="72">
        <f t="shared" si="47"/>
        <v>48190.718000000001</v>
      </c>
    </row>
    <row r="238" spans="2:16" ht="15" customHeight="1" x14ac:dyDescent="0.35">
      <c r="B238" s="52">
        <v>233</v>
      </c>
      <c r="C238" s="59">
        <f>'Rainfall Data'!J264</f>
        <v>46255</v>
      </c>
      <c r="D238" s="60">
        <f>'Rainfall Data'!P264</f>
        <v>11.4</v>
      </c>
      <c r="E238" s="61">
        <f t="shared" si="36"/>
        <v>1792.1331999999998</v>
      </c>
      <c r="F238" s="62">
        <f t="shared" si="43"/>
        <v>2783.3090999999986</v>
      </c>
      <c r="G238" s="63">
        <f t="shared" si="37"/>
        <v>270</v>
      </c>
      <c r="H238" s="64">
        <f t="shared" si="38"/>
        <v>270</v>
      </c>
      <c r="I238" s="65">
        <f t="shared" si="39"/>
        <v>0</v>
      </c>
      <c r="J238" s="66">
        <f t="shared" si="40"/>
        <v>0</v>
      </c>
      <c r="K238" s="61">
        <f t="shared" si="41"/>
        <v>4305.4422999999988</v>
      </c>
      <c r="L238" s="67">
        <f t="shared" si="42"/>
        <v>0.78327499999999994</v>
      </c>
      <c r="M238" s="62">
        <f t="shared" si="44"/>
        <v>18024.724299999998</v>
      </c>
      <c r="N238" s="62">
        <f t="shared" si="45"/>
        <v>14719.281999999999</v>
      </c>
      <c r="O238" s="62">
        <f t="shared" si="46"/>
        <v>0</v>
      </c>
      <c r="P238" s="62">
        <f t="shared" si="47"/>
        <v>48190.718000000001</v>
      </c>
    </row>
    <row r="239" spans="2:16" ht="15" customHeight="1" x14ac:dyDescent="0.35">
      <c r="B239" s="68">
        <v>234</v>
      </c>
      <c r="C239" s="69">
        <f>'Rainfall Data'!J265</f>
        <v>46256</v>
      </c>
      <c r="D239" s="70">
        <f>'Rainfall Data'!P265</f>
        <v>0</v>
      </c>
      <c r="E239" s="71">
        <f t="shared" si="36"/>
        <v>0</v>
      </c>
      <c r="F239" s="72">
        <f t="shared" si="43"/>
        <v>4305.4422999999988</v>
      </c>
      <c r="G239" s="73">
        <f t="shared" si="37"/>
        <v>270</v>
      </c>
      <c r="H239" s="74">
        <f t="shared" si="38"/>
        <v>270</v>
      </c>
      <c r="I239" s="75">
        <f t="shared" si="39"/>
        <v>0</v>
      </c>
      <c r="J239" s="76">
        <f t="shared" si="40"/>
        <v>0</v>
      </c>
      <c r="K239" s="71">
        <f t="shared" si="41"/>
        <v>4035.4422999999988</v>
      </c>
      <c r="L239" s="77">
        <f t="shared" si="42"/>
        <v>0</v>
      </c>
      <c r="M239" s="72">
        <f t="shared" si="44"/>
        <v>18024.724299999998</v>
      </c>
      <c r="N239" s="72">
        <f t="shared" si="45"/>
        <v>14989.281999999999</v>
      </c>
      <c r="O239" s="72">
        <f t="shared" si="46"/>
        <v>0</v>
      </c>
      <c r="P239" s="72">
        <f t="shared" si="47"/>
        <v>48190.718000000001</v>
      </c>
    </row>
    <row r="240" spans="2:16" ht="15" customHeight="1" x14ac:dyDescent="0.35">
      <c r="B240" s="52">
        <v>235</v>
      </c>
      <c r="C240" s="59">
        <f>'Rainfall Data'!J266</f>
        <v>46257</v>
      </c>
      <c r="D240" s="60">
        <f>'Rainfall Data'!P266</f>
        <v>0</v>
      </c>
      <c r="E240" s="61">
        <f t="shared" si="36"/>
        <v>0</v>
      </c>
      <c r="F240" s="62">
        <f t="shared" si="43"/>
        <v>4035.4422999999988</v>
      </c>
      <c r="G240" s="63">
        <f t="shared" si="37"/>
        <v>270</v>
      </c>
      <c r="H240" s="64">
        <f t="shared" si="38"/>
        <v>270</v>
      </c>
      <c r="I240" s="65">
        <f t="shared" si="39"/>
        <v>0</v>
      </c>
      <c r="J240" s="66">
        <f t="shared" si="40"/>
        <v>0</v>
      </c>
      <c r="K240" s="61">
        <f t="shared" si="41"/>
        <v>3765.4422999999988</v>
      </c>
      <c r="L240" s="67">
        <f t="shared" si="42"/>
        <v>0</v>
      </c>
      <c r="M240" s="62">
        <f t="shared" si="44"/>
        <v>18024.724299999998</v>
      </c>
      <c r="N240" s="62">
        <f t="shared" si="45"/>
        <v>15259.281999999999</v>
      </c>
      <c r="O240" s="62">
        <f t="shared" si="46"/>
        <v>0</v>
      </c>
      <c r="P240" s="62">
        <f t="shared" si="47"/>
        <v>48190.718000000001</v>
      </c>
    </row>
    <row r="241" spans="2:16" ht="15" customHeight="1" x14ac:dyDescent="0.35">
      <c r="B241" s="68">
        <v>236</v>
      </c>
      <c r="C241" s="69">
        <f>'Rainfall Data'!J267</f>
        <v>46258</v>
      </c>
      <c r="D241" s="70">
        <f>'Rainfall Data'!P267</f>
        <v>0</v>
      </c>
      <c r="E241" s="71">
        <f t="shared" si="36"/>
        <v>0</v>
      </c>
      <c r="F241" s="72">
        <f t="shared" si="43"/>
        <v>3765.4422999999988</v>
      </c>
      <c r="G241" s="73">
        <f t="shared" si="37"/>
        <v>270</v>
      </c>
      <c r="H241" s="74">
        <f t="shared" si="38"/>
        <v>270</v>
      </c>
      <c r="I241" s="75">
        <f t="shared" si="39"/>
        <v>0</v>
      </c>
      <c r="J241" s="76">
        <f t="shared" si="40"/>
        <v>0</v>
      </c>
      <c r="K241" s="71">
        <f t="shared" si="41"/>
        <v>3495.4422999999988</v>
      </c>
      <c r="L241" s="77">
        <f t="shared" si="42"/>
        <v>0</v>
      </c>
      <c r="M241" s="72">
        <f t="shared" si="44"/>
        <v>18024.724299999998</v>
      </c>
      <c r="N241" s="72">
        <f t="shared" si="45"/>
        <v>15529.281999999999</v>
      </c>
      <c r="O241" s="72">
        <f t="shared" si="46"/>
        <v>0</v>
      </c>
      <c r="P241" s="72">
        <f t="shared" si="47"/>
        <v>48190.718000000001</v>
      </c>
    </row>
    <row r="242" spans="2:16" ht="15" customHeight="1" x14ac:dyDescent="0.35">
      <c r="B242" s="52">
        <v>237</v>
      </c>
      <c r="C242" s="59">
        <f>'Rainfall Data'!J268</f>
        <v>46259</v>
      </c>
      <c r="D242" s="60">
        <f>'Rainfall Data'!P268</f>
        <v>0</v>
      </c>
      <c r="E242" s="61">
        <f t="shared" si="36"/>
        <v>0</v>
      </c>
      <c r="F242" s="62">
        <f t="shared" si="43"/>
        <v>3495.4422999999988</v>
      </c>
      <c r="G242" s="63">
        <f t="shared" si="37"/>
        <v>270</v>
      </c>
      <c r="H242" s="64">
        <f t="shared" si="38"/>
        <v>270</v>
      </c>
      <c r="I242" s="65">
        <f t="shared" si="39"/>
        <v>0</v>
      </c>
      <c r="J242" s="66">
        <f t="shared" si="40"/>
        <v>0</v>
      </c>
      <c r="K242" s="61">
        <f t="shared" si="41"/>
        <v>3225.4422999999988</v>
      </c>
      <c r="L242" s="67">
        <f t="shared" si="42"/>
        <v>0</v>
      </c>
      <c r="M242" s="62">
        <f t="shared" si="44"/>
        <v>18024.724299999998</v>
      </c>
      <c r="N242" s="62">
        <f t="shared" si="45"/>
        <v>15799.281999999999</v>
      </c>
      <c r="O242" s="62">
        <f t="shared" si="46"/>
        <v>0</v>
      </c>
      <c r="P242" s="62">
        <f t="shared" si="47"/>
        <v>48190.718000000001</v>
      </c>
    </row>
    <row r="243" spans="2:16" ht="15" customHeight="1" x14ac:dyDescent="0.35">
      <c r="B243" s="68">
        <v>238</v>
      </c>
      <c r="C243" s="69">
        <f>'Rainfall Data'!J269</f>
        <v>46260</v>
      </c>
      <c r="D243" s="70">
        <f>'Rainfall Data'!P269</f>
        <v>11.4</v>
      </c>
      <c r="E243" s="71">
        <f t="shared" si="36"/>
        <v>1792.1331999999998</v>
      </c>
      <c r="F243" s="72">
        <f t="shared" si="43"/>
        <v>3225.4422999999988</v>
      </c>
      <c r="G243" s="73">
        <f t="shared" si="37"/>
        <v>270</v>
      </c>
      <c r="H243" s="74">
        <f t="shared" si="38"/>
        <v>270</v>
      </c>
      <c r="I243" s="75">
        <f t="shared" si="39"/>
        <v>0</v>
      </c>
      <c r="J243" s="76">
        <f t="shared" si="40"/>
        <v>0</v>
      </c>
      <c r="K243" s="71">
        <f t="shared" si="41"/>
        <v>4747.575499999999</v>
      </c>
      <c r="L243" s="77">
        <f t="shared" si="42"/>
        <v>0.78327499999999994</v>
      </c>
      <c r="M243" s="72">
        <f t="shared" si="44"/>
        <v>19816.857499999998</v>
      </c>
      <c r="N243" s="72">
        <f t="shared" si="45"/>
        <v>16069.281999999999</v>
      </c>
      <c r="O243" s="72">
        <f t="shared" si="46"/>
        <v>0</v>
      </c>
      <c r="P243" s="72">
        <f t="shared" si="47"/>
        <v>48190.718000000001</v>
      </c>
    </row>
    <row r="244" spans="2:16" ht="15" customHeight="1" x14ac:dyDescent="0.35">
      <c r="B244" s="52">
        <v>239</v>
      </c>
      <c r="C244" s="59">
        <f>'Rainfall Data'!J270</f>
        <v>46261</v>
      </c>
      <c r="D244" s="60">
        <f>'Rainfall Data'!P270</f>
        <v>0</v>
      </c>
      <c r="E244" s="61">
        <f t="shared" si="36"/>
        <v>0</v>
      </c>
      <c r="F244" s="62">
        <f t="shared" si="43"/>
        <v>4747.575499999999</v>
      </c>
      <c r="G244" s="63">
        <f t="shared" si="37"/>
        <v>270</v>
      </c>
      <c r="H244" s="64">
        <f t="shared" si="38"/>
        <v>270</v>
      </c>
      <c r="I244" s="65">
        <f t="shared" si="39"/>
        <v>0</v>
      </c>
      <c r="J244" s="66">
        <f t="shared" si="40"/>
        <v>0</v>
      </c>
      <c r="K244" s="61">
        <f t="shared" si="41"/>
        <v>4477.575499999999</v>
      </c>
      <c r="L244" s="67">
        <f t="shared" si="42"/>
        <v>0</v>
      </c>
      <c r="M244" s="62">
        <f t="shared" si="44"/>
        <v>19816.857499999998</v>
      </c>
      <c r="N244" s="62">
        <f t="shared" si="45"/>
        <v>16339.281999999999</v>
      </c>
      <c r="O244" s="62">
        <f t="shared" si="46"/>
        <v>0</v>
      </c>
      <c r="P244" s="62">
        <f t="shared" si="47"/>
        <v>48190.718000000001</v>
      </c>
    </row>
    <row r="245" spans="2:16" ht="15" customHeight="1" x14ac:dyDescent="0.35">
      <c r="B245" s="68">
        <v>240</v>
      </c>
      <c r="C245" s="69">
        <f>'Rainfall Data'!J271</f>
        <v>46262</v>
      </c>
      <c r="D245" s="70">
        <f>'Rainfall Data'!P271</f>
        <v>0</v>
      </c>
      <c r="E245" s="71">
        <f t="shared" si="36"/>
        <v>0</v>
      </c>
      <c r="F245" s="72">
        <f t="shared" si="43"/>
        <v>4477.575499999999</v>
      </c>
      <c r="G245" s="73">
        <f t="shared" si="37"/>
        <v>270</v>
      </c>
      <c r="H245" s="74">
        <f t="shared" si="38"/>
        <v>270</v>
      </c>
      <c r="I245" s="75">
        <f t="shared" si="39"/>
        <v>0</v>
      </c>
      <c r="J245" s="76">
        <f t="shared" si="40"/>
        <v>0</v>
      </c>
      <c r="K245" s="71">
        <f t="shared" si="41"/>
        <v>4207.575499999999</v>
      </c>
      <c r="L245" s="77">
        <f t="shared" si="42"/>
        <v>0</v>
      </c>
      <c r="M245" s="72">
        <f t="shared" si="44"/>
        <v>19816.857499999998</v>
      </c>
      <c r="N245" s="72">
        <f t="shared" si="45"/>
        <v>16609.281999999999</v>
      </c>
      <c r="O245" s="72">
        <f t="shared" si="46"/>
        <v>0</v>
      </c>
      <c r="P245" s="72">
        <f t="shared" si="47"/>
        <v>48190.718000000001</v>
      </c>
    </row>
    <row r="246" spans="2:16" ht="15" customHeight="1" x14ac:dyDescent="0.35">
      <c r="B246" s="52">
        <v>241</v>
      </c>
      <c r="C246" s="59">
        <f>'Rainfall Data'!J272</f>
        <v>46263</v>
      </c>
      <c r="D246" s="60">
        <f>'Rainfall Data'!P272</f>
        <v>0</v>
      </c>
      <c r="E246" s="61">
        <f t="shared" si="36"/>
        <v>0</v>
      </c>
      <c r="F246" s="62">
        <f t="shared" si="43"/>
        <v>4207.575499999999</v>
      </c>
      <c r="G246" s="63">
        <f t="shared" si="37"/>
        <v>270</v>
      </c>
      <c r="H246" s="64">
        <f t="shared" si="38"/>
        <v>270</v>
      </c>
      <c r="I246" s="65">
        <f t="shared" si="39"/>
        <v>0</v>
      </c>
      <c r="J246" s="66">
        <f t="shared" si="40"/>
        <v>0</v>
      </c>
      <c r="K246" s="61">
        <f t="shared" si="41"/>
        <v>3937.575499999999</v>
      </c>
      <c r="L246" s="67">
        <f t="shared" si="42"/>
        <v>0</v>
      </c>
      <c r="M246" s="62">
        <f t="shared" si="44"/>
        <v>19816.857499999998</v>
      </c>
      <c r="N246" s="62">
        <f t="shared" si="45"/>
        <v>16879.281999999999</v>
      </c>
      <c r="O246" s="62">
        <f t="shared" si="46"/>
        <v>0</v>
      </c>
      <c r="P246" s="62">
        <f t="shared" si="47"/>
        <v>48190.718000000001</v>
      </c>
    </row>
    <row r="247" spans="2:16" ht="15" customHeight="1" x14ac:dyDescent="0.35">
      <c r="B247" s="68">
        <v>242</v>
      </c>
      <c r="C247" s="69">
        <f>'Rainfall Data'!J273</f>
        <v>46264</v>
      </c>
      <c r="D247" s="70">
        <f>'Rainfall Data'!P273</f>
        <v>0</v>
      </c>
      <c r="E247" s="71">
        <f t="shared" si="36"/>
        <v>0</v>
      </c>
      <c r="F247" s="72">
        <f t="shared" si="43"/>
        <v>3937.575499999999</v>
      </c>
      <c r="G247" s="73">
        <f t="shared" si="37"/>
        <v>270</v>
      </c>
      <c r="H247" s="74">
        <f t="shared" si="38"/>
        <v>270</v>
      </c>
      <c r="I247" s="75">
        <f t="shared" si="39"/>
        <v>0</v>
      </c>
      <c r="J247" s="76">
        <f t="shared" si="40"/>
        <v>0</v>
      </c>
      <c r="K247" s="71">
        <f t="shared" si="41"/>
        <v>3667.575499999999</v>
      </c>
      <c r="L247" s="77">
        <f t="shared" si="42"/>
        <v>0</v>
      </c>
      <c r="M247" s="72">
        <f t="shared" si="44"/>
        <v>19816.857499999998</v>
      </c>
      <c r="N247" s="72">
        <f t="shared" si="45"/>
        <v>17149.281999999999</v>
      </c>
      <c r="O247" s="72">
        <f t="shared" si="46"/>
        <v>0</v>
      </c>
      <c r="P247" s="72">
        <f t="shared" si="47"/>
        <v>48190.718000000001</v>
      </c>
    </row>
    <row r="248" spans="2:16" ht="15" customHeight="1" x14ac:dyDescent="0.35">
      <c r="B248" s="52">
        <v>243</v>
      </c>
      <c r="C248" s="59">
        <f>'Rainfall Data'!J274</f>
        <v>46265</v>
      </c>
      <c r="D248" s="60">
        <f>'Rainfall Data'!P274</f>
        <v>0</v>
      </c>
      <c r="E248" s="61">
        <f t="shared" si="36"/>
        <v>0</v>
      </c>
      <c r="F248" s="62">
        <f t="shared" si="43"/>
        <v>3667.575499999999</v>
      </c>
      <c r="G248" s="63">
        <f t="shared" si="37"/>
        <v>270</v>
      </c>
      <c r="H248" s="64">
        <f t="shared" si="38"/>
        <v>270</v>
      </c>
      <c r="I248" s="65">
        <f t="shared" si="39"/>
        <v>0</v>
      </c>
      <c r="J248" s="66">
        <f t="shared" si="40"/>
        <v>0</v>
      </c>
      <c r="K248" s="61">
        <f t="shared" si="41"/>
        <v>3397.575499999999</v>
      </c>
      <c r="L248" s="67">
        <f t="shared" si="42"/>
        <v>0</v>
      </c>
      <c r="M248" s="62">
        <f t="shared" si="44"/>
        <v>19816.857499999998</v>
      </c>
      <c r="N248" s="62">
        <f t="shared" si="45"/>
        <v>17419.281999999999</v>
      </c>
      <c r="O248" s="62">
        <f t="shared" si="46"/>
        <v>0</v>
      </c>
      <c r="P248" s="62">
        <f t="shared" si="47"/>
        <v>48190.718000000001</v>
      </c>
    </row>
    <row r="249" spans="2:16" ht="15" customHeight="1" x14ac:dyDescent="0.35">
      <c r="B249" s="68">
        <v>244</v>
      </c>
      <c r="C249" s="69">
        <f>'Rainfall Data'!J275</f>
        <v>46266</v>
      </c>
      <c r="D249" s="70">
        <f>'Rainfall Data'!P275</f>
        <v>0</v>
      </c>
      <c r="E249" s="71">
        <f t="shared" si="36"/>
        <v>0</v>
      </c>
      <c r="F249" s="72">
        <f t="shared" si="43"/>
        <v>3397.575499999999</v>
      </c>
      <c r="G249" s="73">
        <f t="shared" si="37"/>
        <v>270</v>
      </c>
      <c r="H249" s="74">
        <f t="shared" si="38"/>
        <v>270</v>
      </c>
      <c r="I249" s="75">
        <f t="shared" si="39"/>
        <v>0</v>
      </c>
      <c r="J249" s="76">
        <f t="shared" si="40"/>
        <v>0</v>
      </c>
      <c r="K249" s="71">
        <f t="shared" si="41"/>
        <v>3127.575499999999</v>
      </c>
      <c r="L249" s="77">
        <f t="shared" si="42"/>
        <v>0</v>
      </c>
      <c r="M249" s="72">
        <f t="shared" si="44"/>
        <v>19816.857499999998</v>
      </c>
      <c r="N249" s="72">
        <f t="shared" si="45"/>
        <v>17689.281999999999</v>
      </c>
      <c r="O249" s="72">
        <f t="shared" si="46"/>
        <v>0</v>
      </c>
      <c r="P249" s="72">
        <f t="shared" si="47"/>
        <v>48190.718000000001</v>
      </c>
    </row>
    <row r="250" spans="2:16" ht="15" customHeight="1" x14ac:dyDescent="0.35">
      <c r="B250" s="52">
        <v>245</v>
      </c>
      <c r="C250" s="59">
        <f>'Rainfall Data'!J276</f>
        <v>46267</v>
      </c>
      <c r="D250" s="60">
        <f>'Rainfall Data'!P276</f>
        <v>0</v>
      </c>
      <c r="E250" s="61">
        <f t="shared" si="36"/>
        <v>0</v>
      </c>
      <c r="F250" s="62">
        <f t="shared" si="43"/>
        <v>3127.575499999999</v>
      </c>
      <c r="G250" s="63">
        <f t="shared" si="37"/>
        <v>270</v>
      </c>
      <c r="H250" s="64">
        <f t="shared" si="38"/>
        <v>270</v>
      </c>
      <c r="I250" s="65">
        <f t="shared" si="39"/>
        <v>0</v>
      </c>
      <c r="J250" s="66">
        <f t="shared" si="40"/>
        <v>0</v>
      </c>
      <c r="K250" s="61">
        <f t="shared" si="41"/>
        <v>2857.575499999999</v>
      </c>
      <c r="L250" s="67">
        <f t="shared" si="42"/>
        <v>0</v>
      </c>
      <c r="M250" s="62">
        <f t="shared" si="44"/>
        <v>19816.857499999998</v>
      </c>
      <c r="N250" s="62">
        <f t="shared" si="45"/>
        <v>17959.281999999999</v>
      </c>
      <c r="O250" s="62">
        <f t="shared" si="46"/>
        <v>0</v>
      </c>
      <c r="P250" s="62">
        <f t="shared" si="47"/>
        <v>48190.718000000001</v>
      </c>
    </row>
    <row r="251" spans="2:16" ht="15" customHeight="1" x14ac:dyDescent="0.35">
      <c r="B251" s="68">
        <v>246</v>
      </c>
      <c r="C251" s="69">
        <f>'Rainfall Data'!J277</f>
        <v>46268</v>
      </c>
      <c r="D251" s="70">
        <f>'Rainfall Data'!P277</f>
        <v>0</v>
      </c>
      <c r="E251" s="71">
        <f t="shared" si="36"/>
        <v>0</v>
      </c>
      <c r="F251" s="72">
        <f t="shared" si="43"/>
        <v>2857.575499999999</v>
      </c>
      <c r="G251" s="73">
        <f t="shared" si="37"/>
        <v>270</v>
      </c>
      <c r="H251" s="74">
        <f t="shared" si="38"/>
        <v>270</v>
      </c>
      <c r="I251" s="75">
        <f t="shared" si="39"/>
        <v>0</v>
      </c>
      <c r="J251" s="76">
        <f t="shared" si="40"/>
        <v>0</v>
      </c>
      <c r="K251" s="71">
        <f t="shared" si="41"/>
        <v>2587.575499999999</v>
      </c>
      <c r="L251" s="77">
        <f t="shared" si="42"/>
        <v>0</v>
      </c>
      <c r="M251" s="72">
        <f t="shared" si="44"/>
        <v>19816.857499999998</v>
      </c>
      <c r="N251" s="72">
        <f t="shared" si="45"/>
        <v>18229.281999999999</v>
      </c>
      <c r="O251" s="72">
        <f t="shared" si="46"/>
        <v>0</v>
      </c>
      <c r="P251" s="72">
        <f t="shared" si="47"/>
        <v>48190.718000000001</v>
      </c>
    </row>
    <row r="252" spans="2:16" ht="15" customHeight="1" x14ac:dyDescent="0.35">
      <c r="B252" s="52">
        <v>247</v>
      </c>
      <c r="C252" s="59">
        <f>'Rainfall Data'!J278</f>
        <v>46269</v>
      </c>
      <c r="D252" s="60">
        <f>'Rainfall Data'!P278</f>
        <v>0</v>
      </c>
      <c r="E252" s="61">
        <f t="shared" si="36"/>
        <v>0</v>
      </c>
      <c r="F252" s="62">
        <f t="shared" si="43"/>
        <v>2587.575499999999</v>
      </c>
      <c r="G252" s="63">
        <f t="shared" si="37"/>
        <v>270</v>
      </c>
      <c r="H252" s="64">
        <f t="shared" si="38"/>
        <v>270</v>
      </c>
      <c r="I252" s="65">
        <f t="shared" si="39"/>
        <v>0</v>
      </c>
      <c r="J252" s="66">
        <f t="shared" si="40"/>
        <v>0</v>
      </c>
      <c r="K252" s="61">
        <f t="shared" si="41"/>
        <v>2317.575499999999</v>
      </c>
      <c r="L252" s="67">
        <f t="shared" si="42"/>
        <v>0</v>
      </c>
      <c r="M252" s="62">
        <f t="shared" si="44"/>
        <v>19816.857499999998</v>
      </c>
      <c r="N252" s="62">
        <f t="shared" si="45"/>
        <v>18499.281999999999</v>
      </c>
      <c r="O252" s="62">
        <f t="shared" si="46"/>
        <v>0</v>
      </c>
      <c r="P252" s="62">
        <f t="shared" si="47"/>
        <v>48190.718000000001</v>
      </c>
    </row>
    <row r="253" spans="2:16" ht="15" customHeight="1" x14ac:dyDescent="0.35">
      <c r="B253" s="68">
        <v>248</v>
      </c>
      <c r="C253" s="69">
        <f>'Rainfall Data'!J279</f>
        <v>46270</v>
      </c>
      <c r="D253" s="70">
        <f>'Rainfall Data'!P279</f>
        <v>0</v>
      </c>
      <c r="E253" s="71">
        <f t="shared" si="36"/>
        <v>0</v>
      </c>
      <c r="F253" s="72">
        <f t="shared" si="43"/>
        <v>2317.575499999999</v>
      </c>
      <c r="G253" s="73">
        <f t="shared" si="37"/>
        <v>270</v>
      </c>
      <c r="H253" s="74">
        <f t="shared" si="38"/>
        <v>270</v>
      </c>
      <c r="I253" s="75">
        <f t="shared" si="39"/>
        <v>0</v>
      </c>
      <c r="J253" s="76">
        <f t="shared" si="40"/>
        <v>0</v>
      </c>
      <c r="K253" s="71">
        <f t="shared" si="41"/>
        <v>2047.575499999999</v>
      </c>
      <c r="L253" s="77">
        <f t="shared" si="42"/>
        <v>0</v>
      </c>
      <c r="M253" s="72">
        <f t="shared" si="44"/>
        <v>19816.857499999998</v>
      </c>
      <c r="N253" s="72">
        <f t="shared" si="45"/>
        <v>18769.281999999999</v>
      </c>
      <c r="O253" s="72">
        <f t="shared" si="46"/>
        <v>0</v>
      </c>
      <c r="P253" s="72">
        <f t="shared" si="47"/>
        <v>48190.718000000001</v>
      </c>
    </row>
    <row r="254" spans="2:16" ht="15" customHeight="1" x14ac:dyDescent="0.35">
      <c r="B254" s="52">
        <v>249</v>
      </c>
      <c r="C254" s="59">
        <f>'Rainfall Data'!J280</f>
        <v>46271</v>
      </c>
      <c r="D254" s="60">
        <f>'Rainfall Data'!P280</f>
        <v>0</v>
      </c>
      <c r="E254" s="61">
        <f t="shared" si="36"/>
        <v>0</v>
      </c>
      <c r="F254" s="62">
        <f t="shared" si="43"/>
        <v>2047.575499999999</v>
      </c>
      <c r="G254" s="63">
        <f t="shared" si="37"/>
        <v>270</v>
      </c>
      <c r="H254" s="64">
        <f t="shared" si="38"/>
        <v>270</v>
      </c>
      <c r="I254" s="65">
        <f t="shared" si="39"/>
        <v>0</v>
      </c>
      <c r="J254" s="66">
        <f t="shared" si="40"/>
        <v>0</v>
      </c>
      <c r="K254" s="61">
        <f t="shared" si="41"/>
        <v>1777.575499999999</v>
      </c>
      <c r="L254" s="67">
        <f t="shared" si="42"/>
        <v>0</v>
      </c>
      <c r="M254" s="62">
        <f t="shared" si="44"/>
        <v>19816.857499999998</v>
      </c>
      <c r="N254" s="62">
        <f t="shared" si="45"/>
        <v>19039.281999999999</v>
      </c>
      <c r="O254" s="62">
        <f t="shared" si="46"/>
        <v>0</v>
      </c>
      <c r="P254" s="62">
        <f t="shared" si="47"/>
        <v>48190.718000000001</v>
      </c>
    </row>
    <row r="255" spans="2:16" ht="15" customHeight="1" x14ac:dyDescent="0.35">
      <c r="B255" s="68">
        <v>250</v>
      </c>
      <c r="C255" s="69">
        <f>'Rainfall Data'!J281</f>
        <v>46272</v>
      </c>
      <c r="D255" s="70">
        <f>'Rainfall Data'!P281</f>
        <v>0</v>
      </c>
      <c r="E255" s="71">
        <f t="shared" si="36"/>
        <v>0</v>
      </c>
      <c r="F255" s="72">
        <f t="shared" si="43"/>
        <v>1777.575499999999</v>
      </c>
      <c r="G255" s="73">
        <f t="shared" si="37"/>
        <v>270</v>
      </c>
      <c r="H255" s="74">
        <f t="shared" si="38"/>
        <v>270</v>
      </c>
      <c r="I255" s="75">
        <f t="shared" si="39"/>
        <v>0</v>
      </c>
      <c r="J255" s="76">
        <f t="shared" si="40"/>
        <v>0</v>
      </c>
      <c r="K255" s="71">
        <f t="shared" si="41"/>
        <v>1507.575499999999</v>
      </c>
      <c r="L255" s="77">
        <f t="shared" si="42"/>
        <v>0</v>
      </c>
      <c r="M255" s="72">
        <f t="shared" si="44"/>
        <v>19816.857499999998</v>
      </c>
      <c r="N255" s="72">
        <f t="shared" si="45"/>
        <v>19309.281999999999</v>
      </c>
      <c r="O255" s="72">
        <f t="shared" si="46"/>
        <v>0</v>
      </c>
      <c r="P255" s="72">
        <f t="shared" si="47"/>
        <v>48190.718000000001</v>
      </c>
    </row>
    <row r="256" spans="2:16" ht="15" customHeight="1" x14ac:dyDescent="0.35">
      <c r="B256" s="52">
        <v>251</v>
      </c>
      <c r="C256" s="59">
        <f>'Rainfall Data'!J282</f>
        <v>46273</v>
      </c>
      <c r="D256" s="60">
        <f>'Rainfall Data'!P282</f>
        <v>5</v>
      </c>
      <c r="E256" s="61">
        <f t="shared" si="36"/>
        <v>689.28199999999993</v>
      </c>
      <c r="F256" s="62">
        <f t="shared" si="43"/>
        <v>1507.575499999999</v>
      </c>
      <c r="G256" s="63">
        <f t="shared" si="37"/>
        <v>270</v>
      </c>
      <c r="H256" s="64">
        <f t="shared" si="38"/>
        <v>270</v>
      </c>
      <c r="I256" s="65">
        <f t="shared" si="39"/>
        <v>0</v>
      </c>
      <c r="J256" s="66">
        <f t="shared" si="40"/>
        <v>0</v>
      </c>
      <c r="K256" s="61">
        <f t="shared" si="41"/>
        <v>1926.8574999999992</v>
      </c>
      <c r="L256" s="67">
        <f t="shared" si="42"/>
        <v>0.78327499999999994</v>
      </c>
      <c r="M256" s="62">
        <f t="shared" si="44"/>
        <v>20506.139499999997</v>
      </c>
      <c r="N256" s="62">
        <f t="shared" si="45"/>
        <v>19579.281999999999</v>
      </c>
      <c r="O256" s="62">
        <f t="shared" si="46"/>
        <v>0</v>
      </c>
      <c r="P256" s="62">
        <f t="shared" si="47"/>
        <v>48190.718000000001</v>
      </c>
    </row>
    <row r="257" spans="2:16" ht="15" customHeight="1" x14ac:dyDescent="0.35">
      <c r="B257" s="68">
        <v>252</v>
      </c>
      <c r="C257" s="69">
        <f>'Rainfall Data'!J283</f>
        <v>46274</v>
      </c>
      <c r="D257" s="70">
        <f>'Rainfall Data'!P283</f>
        <v>0</v>
      </c>
      <c r="E257" s="71">
        <f t="shared" si="36"/>
        <v>0</v>
      </c>
      <c r="F257" s="72">
        <f t="shared" si="43"/>
        <v>1926.8574999999992</v>
      </c>
      <c r="G257" s="73">
        <f t="shared" si="37"/>
        <v>270</v>
      </c>
      <c r="H257" s="74">
        <f t="shared" si="38"/>
        <v>270</v>
      </c>
      <c r="I257" s="75">
        <f t="shared" si="39"/>
        <v>0</v>
      </c>
      <c r="J257" s="76">
        <f t="shared" si="40"/>
        <v>0</v>
      </c>
      <c r="K257" s="71">
        <f t="shared" si="41"/>
        <v>1656.8574999999992</v>
      </c>
      <c r="L257" s="77">
        <f t="shared" si="42"/>
        <v>0</v>
      </c>
      <c r="M257" s="72">
        <f t="shared" si="44"/>
        <v>20506.139499999997</v>
      </c>
      <c r="N257" s="72">
        <f t="shared" si="45"/>
        <v>19849.281999999999</v>
      </c>
      <c r="O257" s="72">
        <f t="shared" si="46"/>
        <v>0</v>
      </c>
      <c r="P257" s="72">
        <f t="shared" si="47"/>
        <v>48190.718000000001</v>
      </c>
    </row>
    <row r="258" spans="2:16" ht="15" customHeight="1" x14ac:dyDescent="0.35">
      <c r="B258" s="52">
        <v>253</v>
      </c>
      <c r="C258" s="59">
        <f>'Rainfall Data'!J284</f>
        <v>46275</v>
      </c>
      <c r="D258" s="60">
        <f>'Rainfall Data'!P284</f>
        <v>0</v>
      </c>
      <c r="E258" s="61">
        <f t="shared" si="36"/>
        <v>0</v>
      </c>
      <c r="F258" s="62">
        <f t="shared" si="43"/>
        <v>1656.8574999999992</v>
      </c>
      <c r="G258" s="63">
        <f t="shared" si="37"/>
        <v>270</v>
      </c>
      <c r="H258" s="64">
        <f t="shared" si="38"/>
        <v>270</v>
      </c>
      <c r="I258" s="65">
        <f t="shared" si="39"/>
        <v>0</v>
      </c>
      <c r="J258" s="66">
        <f t="shared" si="40"/>
        <v>0</v>
      </c>
      <c r="K258" s="61">
        <f t="shared" si="41"/>
        <v>1386.8574999999992</v>
      </c>
      <c r="L258" s="67">
        <f t="shared" si="42"/>
        <v>0</v>
      </c>
      <c r="M258" s="62">
        <f t="shared" si="44"/>
        <v>20506.139499999997</v>
      </c>
      <c r="N258" s="62">
        <f t="shared" si="45"/>
        <v>20119.281999999999</v>
      </c>
      <c r="O258" s="62">
        <f t="shared" si="46"/>
        <v>0</v>
      </c>
      <c r="P258" s="62">
        <f t="shared" si="47"/>
        <v>48190.718000000001</v>
      </c>
    </row>
    <row r="259" spans="2:16" ht="15" customHeight="1" x14ac:dyDescent="0.35">
      <c r="B259" s="68">
        <v>254</v>
      </c>
      <c r="C259" s="69">
        <f>'Rainfall Data'!J285</f>
        <v>46276</v>
      </c>
      <c r="D259" s="70">
        <f>'Rainfall Data'!P285</f>
        <v>0</v>
      </c>
      <c r="E259" s="71">
        <f t="shared" si="36"/>
        <v>0</v>
      </c>
      <c r="F259" s="72">
        <f t="shared" si="43"/>
        <v>1386.8574999999992</v>
      </c>
      <c r="G259" s="73">
        <f t="shared" si="37"/>
        <v>270</v>
      </c>
      <c r="H259" s="74">
        <f t="shared" si="38"/>
        <v>270</v>
      </c>
      <c r="I259" s="75">
        <f t="shared" si="39"/>
        <v>0</v>
      </c>
      <c r="J259" s="76">
        <f t="shared" si="40"/>
        <v>0</v>
      </c>
      <c r="K259" s="71">
        <f t="shared" si="41"/>
        <v>1116.8574999999992</v>
      </c>
      <c r="L259" s="77">
        <f t="shared" si="42"/>
        <v>0</v>
      </c>
      <c r="M259" s="72">
        <f t="shared" si="44"/>
        <v>20506.139499999997</v>
      </c>
      <c r="N259" s="72">
        <f t="shared" si="45"/>
        <v>20389.281999999999</v>
      </c>
      <c r="O259" s="72">
        <f t="shared" si="46"/>
        <v>0</v>
      </c>
      <c r="P259" s="72">
        <f t="shared" si="47"/>
        <v>48190.718000000001</v>
      </c>
    </row>
    <row r="260" spans="2:16" ht="15" customHeight="1" x14ac:dyDescent="0.35">
      <c r="B260" s="52">
        <v>255</v>
      </c>
      <c r="C260" s="59">
        <f>'Rainfall Data'!J286</f>
        <v>46277</v>
      </c>
      <c r="D260" s="60">
        <f>'Rainfall Data'!P286</f>
        <v>0</v>
      </c>
      <c r="E260" s="61">
        <f t="shared" si="36"/>
        <v>0</v>
      </c>
      <c r="F260" s="62">
        <f t="shared" si="43"/>
        <v>1116.8574999999992</v>
      </c>
      <c r="G260" s="63">
        <f t="shared" si="37"/>
        <v>270</v>
      </c>
      <c r="H260" s="64">
        <f t="shared" si="38"/>
        <v>270</v>
      </c>
      <c r="I260" s="65">
        <f t="shared" si="39"/>
        <v>0</v>
      </c>
      <c r="J260" s="66">
        <f t="shared" si="40"/>
        <v>0</v>
      </c>
      <c r="K260" s="61">
        <f t="shared" si="41"/>
        <v>846.85749999999916</v>
      </c>
      <c r="L260" s="67">
        <f t="shared" si="42"/>
        <v>0</v>
      </c>
      <c r="M260" s="62">
        <f t="shared" si="44"/>
        <v>20506.139499999997</v>
      </c>
      <c r="N260" s="62">
        <f t="shared" si="45"/>
        <v>20659.281999999999</v>
      </c>
      <c r="O260" s="62">
        <f t="shared" si="46"/>
        <v>0</v>
      </c>
      <c r="P260" s="62">
        <f t="shared" si="47"/>
        <v>48190.718000000001</v>
      </c>
    </row>
    <row r="261" spans="2:16" ht="15" customHeight="1" x14ac:dyDescent="0.35">
      <c r="B261" s="68">
        <v>256</v>
      </c>
      <c r="C261" s="69">
        <f>'Rainfall Data'!J287</f>
        <v>46278</v>
      </c>
      <c r="D261" s="70">
        <f>'Rainfall Data'!P287</f>
        <v>0</v>
      </c>
      <c r="E261" s="71">
        <f t="shared" si="36"/>
        <v>0</v>
      </c>
      <c r="F261" s="72">
        <f t="shared" si="43"/>
        <v>846.85749999999916</v>
      </c>
      <c r="G261" s="73">
        <f t="shared" si="37"/>
        <v>270</v>
      </c>
      <c r="H261" s="74">
        <f t="shared" si="38"/>
        <v>270</v>
      </c>
      <c r="I261" s="75">
        <f t="shared" si="39"/>
        <v>0</v>
      </c>
      <c r="J261" s="76">
        <f t="shared" si="40"/>
        <v>0</v>
      </c>
      <c r="K261" s="71">
        <f t="shared" si="41"/>
        <v>576.85749999999916</v>
      </c>
      <c r="L261" s="77">
        <f t="shared" si="42"/>
        <v>0</v>
      </c>
      <c r="M261" s="72">
        <f t="shared" si="44"/>
        <v>20506.139499999997</v>
      </c>
      <c r="N261" s="72">
        <f t="shared" si="45"/>
        <v>20929.281999999999</v>
      </c>
      <c r="O261" s="72">
        <f t="shared" si="46"/>
        <v>0</v>
      </c>
      <c r="P261" s="72">
        <f t="shared" si="47"/>
        <v>48190.718000000001</v>
      </c>
    </row>
    <row r="262" spans="2:16" ht="15" customHeight="1" x14ac:dyDescent="0.35">
      <c r="B262" s="52">
        <v>257</v>
      </c>
      <c r="C262" s="59">
        <f>'Rainfall Data'!J288</f>
        <v>46279</v>
      </c>
      <c r="D262" s="60">
        <f>'Rainfall Data'!P288</f>
        <v>0</v>
      </c>
      <c r="E262" s="61">
        <f t="shared" ref="E262:E325" si="48">MAX(D262-FirstFlush_mm,0)*RoofArea_m2*CollectionEff</f>
        <v>0</v>
      </c>
      <c r="F262" s="62">
        <f t="shared" si="43"/>
        <v>576.85749999999916</v>
      </c>
      <c r="G262" s="63">
        <f t="shared" ref="G262:G325" si="49">DailyDemand_L</f>
        <v>270</v>
      </c>
      <c r="H262" s="64">
        <f t="shared" ref="H262:H325" si="50">MIN(G262,MAX(F262+E262-DeadStorage_L,0))</f>
        <v>270</v>
      </c>
      <c r="I262" s="65">
        <f t="shared" ref="I262:I325" si="51">MAX(F262+E262-H262-TankCapacity_L,0)</f>
        <v>0</v>
      </c>
      <c r="J262" s="66">
        <f t="shared" ref="J262:J325" si="52">G262-H262</f>
        <v>0</v>
      </c>
      <c r="K262" s="61">
        <f t="shared" ref="K262:K325" si="53">MIN(F262+E262-H262-I262,TankCapacity_L)</f>
        <v>306.85749999999916</v>
      </c>
      <c r="L262" s="67">
        <f t="shared" ref="L262:L325" si="54">IF(D262&gt;0,CollectionEff,0)</f>
        <v>0</v>
      </c>
      <c r="M262" s="62">
        <f t="shared" si="44"/>
        <v>20506.139499999997</v>
      </c>
      <c r="N262" s="62">
        <f t="shared" si="45"/>
        <v>21199.281999999999</v>
      </c>
      <c r="O262" s="62">
        <f t="shared" si="46"/>
        <v>0</v>
      </c>
      <c r="P262" s="62">
        <f t="shared" si="47"/>
        <v>48190.718000000001</v>
      </c>
    </row>
    <row r="263" spans="2:16" ht="15" customHeight="1" x14ac:dyDescent="0.35">
      <c r="B263" s="68">
        <v>258</v>
      </c>
      <c r="C263" s="69">
        <f>'Rainfall Data'!J289</f>
        <v>46280</v>
      </c>
      <c r="D263" s="70">
        <f>'Rainfall Data'!P289</f>
        <v>5</v>
      </c>
      <c r="E263" s="71">
        <f t="shared" si="48"/>
        <v>689.28199999999993</v>
      </c>
      <c r="F263" s="72">
        <f t="shared" ref="F263:F326" si="55">K262</f>
        <v>306.85749999999916</v>
      </c>
      <c r="G263" s="73">
        <f t="shared" si="49"/>
        <v>270</v>
      </c>
      <c r="H263" s="74">
        <f t="shared" si="50"/>
        <v>270</v>
      </c>
      <c r="I263" s="75">
        <f t="shared" si="51"/>
        <v>0</v>
      </c>
      <c r="J263" s="76">
        <f t="shared" si="52"/>
        <v>0</v>
      </c>
      <c r="K263" s="71">
        <f t="shared" si="53"/>
        <v>726.13949999999909</v>
      </c>
      <c r="L263" s="77">
        <f t="shared" si="54"/>
        <v>0.78327499999999994</v>
      </c>
      <c r="M263" s="72">
        <f t="shared" ref="M263:M326" si="56">M262+E263</f>
        <v>21195.421499999997</v>
      </c>
      <c r="N263" s="72">
        <f t="shared" ref="N263:N326" si="57">N262+H263</f>
        <v>21469.281999999999</v>
      </c>
      <c r="O263" s="72">
        <f t="shared" ref="O263:O326" si="58">O262+I263</f>
        <v>0</v>
      </c>
      <c r="P263" s="72">
        <f t="shared" ref="P263:P326" si="59">P262+J263</f>
        <v>48190.718000000001</v>
      </c>
    </row>
    <row r="264" spans="2:16" ht="15" customHeight="1" x14ac:dyDescent="0.35">
      <c r="B264" s="52">
        <v>259</v>
      </c>
      <c r="C264" s="59">
        <f>'Rainfall Data'!J290</f>
        <v>46281</v>
      </c>
      <c r="D264" s="60">
        <f>'Rainfall Data'!P290</f>
        <v>0</v>
      </c>
      <c r="E264" s="61">
        <f t="shared" si="48"/>
        <v>0</v>
      </c>
      <c r="F264" s="62">
        <f t="shared" si="55"/>
        <v>726.13949999999909</v>
      </c>
      <c r="G264" s="63">
        <f t="shared" si="49"/>
        <v>270</v>
      </c>
      <c r="H264" s="64">
        <f t="shared" si="50"/>
        <v>270</v>
      </c>
      <c r="I264" s="65">
        <f t="shared" si="51"/>
        <v>0</v>
      </c>
      <c r="J264" s="66">
        <f t="shared" si="52"/>
        <v>0</v>
      </c>
      <c r="K264" s="61">
        <f t="shared" si="53"/>
        <v>456.13949999999909</v>
      </c>
      <c r="L264" s="67">
        <f t="shared" si="54"/>
        <v>0</v>
      </c>
      <c r="M264" s="62">
        <f t="shared" si="56"/>
        <v>21195.421499999997</v>
      </c>
      <c r="N264" s="62">
        <f t="shared" si="57"/>
        <v>21739.281999999999</v>
      </c>
      <c r="O264" s="62">
        <f t="shared" si="58"/>
        <v>0</v>
      </c>
      <c r="P264" s="62">
        <f t="shared" si="59"/>
        <v>48190.718000000001</v>
      </c>
    </row>
    <row r="265" spans="2:16" ht="15" customHeight="1" x14ac:dyDescent="0.35">
      <c r="B265" s="68">
        <v>260</v>
      </c>
      <c r="C265" s="69">
        <f>'Rainfall Data'!J291</f>
        <v>46282</v>
      </c>
      <c r="D265" s="70">
        <f>'Rainfall Data'!P291</f>
        <v>0</v>
      </c>
      <c r="E265" s="71">
        <f t="shared" si="48"/>
        <v>0</v>
      </c>
      <c r="F265" s="72">
        <f t="shared" si="55"/>
        <v>456.13949999999909</v>
      </c>
      <c r="G265" s="73">
        <f t="shared" si="49"/>
        <v>270</v>
      </c>
      <c r="H265" s="74">
        <f t="shared" si="50"/>
        <v>256.13949999999909</v>
      </c>
      <c r="I265" s="75">
        <f t="shared" si="51"/>
        <v>0</v>
      </c>
      <c r="J265" s="76">
        <f t="shared" si="52"/>
        <v>13.860500000000911</v>
      </c>
      <c r="K265" s="71">
        <f t="shared" si="53"/>
        <v>200</v>
      </c>
      <c r="L265" s="77">
        <f t="shared" si="54"/>
        <v>0</v>
      </c>
      <c r="M265" s="72">
        <f t="shared" si="56"/>
        <v>21195.421499999997</v>
      </c>
      <c r="N265" s="72">
        <f t="shared" si="57"/>
        <v>21995.421499999997</v>
      </c>
      <c r="O265" s="72">
        <f t="shared" si="58"/>
        <v>0</v>
      </c>
      <c r="P265" s="72">
        <f t="shared" si="59"/>
        <v>48204.578500000003</v>
      </c>
    </row>
    <row r="266" spans="2:16" ht="15" customHeight="1" x14ac:dyDescent="0.35">
      <c r="B266" s="52">
        <v>261</v>
      </c>
      <c r="C266" s="59">
        <f>'Rainfall Data'!J292</f>
        <v>46283</v>
      </c>
      <c r="D266" s="60">
        <f>'Rainfall Data'!P292</f>
        <v>0</v>
      </c>
      <c r="E266" s="61">
        <f t="shared" si="48"/>
        <v>0</v>
      </c>
      <c r="F266" s="62">
        <f t="shared" si="55"/>
        <v>200</v>
      </c>
      <c r="G266" s="63">
        <f t="shared" si="49"/>
        <v>270</v>
      </c>
      <c r="H266" s="64">
        <f t="shared" si="50"/>
        <v>0</v>
      </c>
      <c r="I266" s="65">
        <f t="shared" si="51"/>
        <v>0</v>
      </c>
      <c r="J266" s="66">
        <f t="shared" si="52"/>
        <v>270</v>
      </c>
      <c r="K266" s="61">
        <f t="shared" si="53"/>
        <v>200</v>
      </c>
      <c r="L266" s="67">
        <f t="shared" si="54"/>
        <v>0</v>
      </c>
      <c r="M266" s="62">
        <f t="shared" si="56"/>
        <v>21195.421499999997</v>
      </c>
      <c r="N266" s="62">
        <f t="shared" si="57"/>
        <v>21995.421499999997</v>
      </c>
      <c r="O266" s="62">
        <f t="shared" si="58"/>
        <v>0</v>
      </c>
      <c r="P266" s="62">
        <f t="shared" si="59"/>
        <v>48474.578500000003</v>
      </c>
    </row>
    <row r="267" spans="2:16" ht="15" customHeight="1" x14ac:dyDescent="0.35">
      <c r="B267" s="68">
        <v>262</v>
      </c>
      <c r="C267" s="69">
        <f>'Rainfall Data'!J293</f>
        <v>46284</v>
      </c>
      <c r="D267" s="70">
        <f>'Rainfall Data'!P293</f>
        <v>0</v>
      </c>
      <c r="E267" s="71">
        <f t="shared" si="48"/>
        <v>0</v>
      </c>
      <c r="F267" s="72">
        <f t="shared" si="55"/>
        <v>200</v>
      </c>
      <c r="G267" s="73">
        <f t="shared" si="49"/>
        <v>270</v>
      </c>
      <c r="H267" s="74">
        <f t="shared" si="50"/>
        <v>0</v>
      </c>
      <c r="I267" s="75">
        <f t="shared" si="51"/>
        <v>0</v>
      </c>
      <c r="J267" s="76">
        <f t="shared" si="52"/>
        <v>270</v>
      </c>
      <c r="K267" s="71">
        <f t="shared" si="53"/>
        <v>200</v>
      </c>
      <c r="L267" s="77">
        <f t="shared" si="54"/>
        <v>0</v>
      </c>
      <c r="M267" s="72">
        <f t="shared" si="56"/>
        <v>21195.421499999997</v>
      </c>
      <c r="N267" s="72">
        <f t="shared" si="57"/>
        <v>21995.421499999997</v>
      </c>
      <c r="O267" s="72">
        <f t="shared" si="58"/>
        <v>0</v>
      </c>
      <c r="P267" s="72">
        <f t="shared" si="59"/>
        <v>48744.578500000003</v>
      </c>
    </row>
    <row r="268" spans="2:16" ht="15" customHeight="1" x14ac:dyDescent="0.35">
      <c r="B268" s="52">
        <v>263</v>
      </c>
      <c r="C268" s="59">
        <f>'Rainfall Data'!J294</f>
        <v>46285</v>
      </c>
      <c r="D268" s="60">
        <f>'Rainfall Data'!P294</f>
        <v>0</v>
      </c>
      <c r="E268" s="61">
        <f t="shared" si="48"/>
        <v>0</v>
      </c>
      <c r="F268" s="62">
        <f t="shared" si="55"/>
        <v>200</v>
      </c>
      <c r="G268" s="63">
        <f t="shared" si="49"/>
        <v>270</v>
      </c>
      <c r="H268" s="64">
        <f t="shared" si="50"/>
        <v>0</v>
      </c>
      <c r="I268" s="65">
        <f t="shared" si="51"/>
        <v>0</v>
      </c>
      <c r="J268" s="66">
        <f t="shared" si="52"/>
        <v>270</v>
      </c>
      <c r="K268" s="61">
        <f t="shared" si="53"/>
        <v>200</v>
      </c>
      <c r="L268" s="67">
        <f t="shared" si="54"/>
        <v>0</v>
      </c>
      <c r="M268" s="62">
        <f t="shared" si="56"/>
        <v>21195.421499999997</v>
      </c>
      <c r="N268" s="62">
        <f t="shared" si="57"/>
        <v>21995.421499999997</v>
      </c>
      <c r="O268" s="62">
        <f t="shared" si="58"/>
        <v>0</v>
      </c>
      <c r="P268" s="62">
        <f t="shared" si="59"/>
        <v>49014.578500000003</v>
      </c>
    </row>
    <row r="269" spans="2:16" ht="15" customHeight="1" x14ac:dyDescent="0.35">
      <c r="B269" s="68">
        <v>264</v>
      </c>
      <c r="C269" s="69">
        <f>'Rainfall Data'!J295</f>
        <v>46286</v>
      </c>
      <c r="D269" s="70">
        <f>'Rainfall Data'!P295</f>
        <v>0</v>
      </c>
      <c r="E269" s="71">
        <f t="shared" si="48"/>
        <v>0</v>
      </c>
      <c r="F269" s="72">
        <f t="shared" si="55"/>
        <v>200</v>
      </c>
      <c r="G269" s="73">
        <f t="shared" si="49"/>
        <v>270</v>
      </c>
      <c r="H269" s="74">
        <f t="shared" si="50"/>
        <v>0</v>
      </c>
      <c r="I269" s="75">
        <f t="shared" si="51"/>
        <v>0</v>
      </c>
      <c r="J269" s="76">
        <f t="shared" si="52"/>
        <v>270</v>
      </c>
      <c r="K269" s="71">
        <f t="shared" si="53"/>
        <v>200</v>
      </c>
      <c r="L269" s="77">
        <f t="shared" si="54"/>
        <v>0</v>
      </c>
      <c r="M269" s="72">
        <f t="shared" si="56"/>
        <v>21195.421499999997</v>
      </c>
      <c r="N269" s="72">
        <f t="shared" si="57"/>
        <v>21995.421499999997</v>
      </c>
      <c r="O269" s="72">
        <f t="shared" si="58"/>
        <v>0</v>
      </c>
      <c r="P269" s="72">
        <f t="shared" si="59"/>
        <v>49284.578500000003</v>
      </c>
    </row>
    <row r="270" spans="2:16" ht="15" customHeight="1" x14ac:dyDescent="0.35">
      <c r="B270" s="52">
        <v>265</v>
      </c>
      <c r="C270" s="59">
        <f>'Rainfall Data'!J296</f>
        <v>46287</v>
      </c>
      <c r="D270" s="60">
        <f>'Rainfall Data'!P296</f>
        <v>5</v>
      </c>
      <c r="E270" s="61">
        <f t="shared" si="48"/>
        <v>689.28199999999993</v>
      </c>
      <c r="F270" s="62">
        <f t="shared" si="55"/>
        <v>200</v>
      </c>
      <c r="G270" s="63">
        <f t="shared" si="49"/>
        <v>270</v>
      </c>
      <c r="H270" s="64">
        <f t="shared" si="50"/>
        <v>270</v>
      </c>
      <c r="I270" s="65">
        <f t="shared" si="51"/>
        <v>0</v>
      </c>
      <c r="J270" s="66">
        <f t="shared" si="52"/>
        <v>0</v>
      </c>
      <c r="K270" s="61">
        <f t="shared" si="53"/>
        <v>619.28199999999993</v>
      </c>
      <c r="L270" s="67">
        <f t="shared" si="54"/>
        <v>0.78327499999999994</v>
      </c>
      <c r="M270" s="62">
        <f t="shared" si="56"/>
        <v>21884.703499999996</v>
      </c>
      <c r="N270" s="62">
        <f t="shared" si="57"/>
        <v>22265.421499999997</v>
      </c>
      <c r="O270" s="62">
        <f t="shared" si="58"/>
        <v>0</v>
      </c>
      <c r="P270" s="62">
        <f t="shared" si="59"/>
        <v>49284.578500000003</v>
      </c>
    </row>
    <row r="271" spans="2:16" ht="15" customHeight="1" x14ac:dyDescent="0.35">
      <c r="B271" s="68">
        <v>266</v>
      </c>
      <c r="C271" s="69">
        <f>'Rainfall Data'!J297</f>
        <v>46288</v>
      </c>
      <c r="D271" s="70">
        <f>'Rainfall Data'!P297</f>
        <v>0</v>
      </c>
      <c r="E271" s="71">
        <f t="shared" si="48"/>
        <v>0</v>
      </c>
      <c r="F271" s="72">
        <f t="shared" si="55"/>
        <v>619.28199999999993</v>
      </c>
      <c r="G271" s="73">
        <f t="shared" si="49"/>
        <v>270</v>
      </c>
      <c r="H271" s="74">
        <f t="shared" si="50"/>
        <v>270</v>
      </c>
      <c r="I271" s="75">
        <f t="shared" si="51"/>
        <v>0</v>
      </c>
      <c r="J271" s="76">
        <f t="shared" si="52"/>
        <v>0</v>
      </c>
      <c r="K271" s="71">
        <f t="shared" si="53"/>
        <v>349.28199999999993</v>
      </c>
      <c r="L271" s="77">
        <f t="shared" si="54"/>
        <v>0</v>
      </c>
      <c r="M271" s="72">
        <f t="shared" si="56"/>
        <v>21884.703499999996</v>
      </c>
      <c r="N271" s="72">
        <f t="shared" si="57"/>
        <v>22535.421499999997</v>
      </c>
      <c r="O271" s="72">
        <f t="shared" si="58"/>
        <v>0</v>
      </c>
      <c r="P271" s="72">
        <f t="shared" si="59"/>
        <v>49284.578500000003</v>
      </c>
    </row>
    <row r="272" spans="2:16" ht="15" customHeight="1" x14ac:dyDescent="0.35">
      <c r="B272" s="52">
        <v>267</v>
      </c>
      <c r="C272" s="59">
        <f>'Rainfall Data'!J298</f>
        <v>46289</v>
      </c>
      <c r="D272" s="60">
        <f>'Rainfall Data'!P298</f>
        <v>0</v>
      </c>
      <c r="E272" s="61">
        <f t="shared" si="48"/>
        <v>0</v>
      </c>
      <c r="F272" s="62">
        <f t="shared" si="55"/>
        <v>349.28199999999993</v>
      </c>
      <c r="G272" s="63">
        <f t="shared" si="49"/>
        <v>270</v>
      </c>
      <c r="H272" s="64">
        <f t="shared" si="50"/>
        <v>149.28199999999993</v>
      </c>
      <c r="I272" s="65">
        <f t="shared" si="51"/>
        <v>0</v>
      </c>
      <c r="J272" s="66">
        <f t="shared" si="52"/>
        <v>120.71800000000007</v>
      </c>
      <c r="K272" s="61">
        <f t="shared" si="53"/>
        <v>200</v>
      </c>
      <c r="L272" s="67">
        <f t="shared" si="54"/>
        <v>0</v>
      </c>
      <c r="M272" s="62">
        <f t="shared" si="56"/>
        <v>21884.703499999996</v>
      </c>
      <c r="N272" s="62">
        <f t="shared" si="57"/>
        <v>22684.703499999996</v>
      </c>
      <c r="O272" s="62">
        <f t="shared" si="58"/>
        <v>0</v>
      </c>
      <c r="P272" s="62">
        <f t="shared" si="59"/>
        <v>49405.296500000004</v>
      </c>
    </row>
    <row r="273" spans="2:16" ht="15" customHeight="1" x14ac:dyDescent="0.35">
      <c r="B273" s="68">
        <v>268</v>
      </c>
      <c r="C273" s="69">
        <f>'Rainfall Data'!J299</f>
        <v>46290</v>
      </c>
      <c r="D273" s="70">
        <f>'Rainfall Data'!P299</f>
        <v>0</v>
      </c>
      <c r="E273" s="71">
        <f t="shared" si="48"/>
        <v>0</v>
      </c>
      <c r="F273" s="72">
        <f t="shared" si="55"/>
        <v>200</v>
      </c>
      <c r="G273" s="73">
        <f t="shared" si="49"/>
        <v>270</v>
      </c>
      <c r="H273" s="74">
        <f t="shared" si="50"/>
        <v>0</v>
      </c>
      <c r="I273" s="75">
        <f t="shared" si="51"/>
        <v>0</v>
      </c>
      <c r="J273" s="76">
        <f t="shared" si="52"/>
        <v>270</v>
      </c>
      <c r="K273" s="71">
        <f t="shared" si="53"/>
        <v>200</v>
      </c>
      <c r="L273" s="77">
        <f t="shared" si="54"/>
        <v>0</v>
      </c>
      <c r="M273" s="72">
        <f t="shared" si="56"/>
        <v>21884.703499999996</v>
      </c>
      <c r="N273" s="72">
        <f t="shared" si="57"/>
        <v>22684.703499999996</v>
      </c>
      <c r="O273" s="72">
        <f t="shared" si="58"/>
        <v>0</v>
      </c>
      <c r="P273" s="72">
        <f t="shared" si="59"/>
        <v>49675.296500000004</v>
      </c>
    </row>
    <row r="274" spans="2:16" ht="15" customHeight="1" x14ac:dyDescent="0.35">
      <c r="B274" s="52">
        <v>269</v>
      </c>
      <c r="C274" s="59">
        <f>'Rainfall Data'!J300</f>
        <v>46291</v>
      </c>
      <c r="D274" s="60">
        <f>'Rainfall Data'!P300</f>
        <v>0</v>
      </c>
      <c r="E274" s="61">
        <f t="shared" si="48"/>
        <v>0</v>
      </c>
      <c r="F274" s="62">
        <f t="shared" si="55"/>
        <v>200</v>
      </c>
      <c r="G274" s="63">
        <f t="shared" si="49"/>
        <v>270</v>
      </c>
      <c r="H274" s="64">
        <f t="shared" si="50"/>
        <v>0</v>
      </c>
      <c r="I274" s="65">
        <f t="shared" si="51"/>
        <v>0</v>
      </c>
      <c r="J274" s="66">
        <f t="shared" si="52"/>
        <v>270</v>
      </c>
      <c r="K274" s="61">
        <f t="shared" si="53"/>
        <v>200</v>
      </c>
      <c r="L274" s="67">
        <f t="shared" si="54"/>
        <v>0</v>
      </c>
      <c r="M274" s="62">
        <f t="shared" si="56"/>
        <v>21884.703499999996</v>
      </c>
      <c r="N274" s="62">
        <f t="shared" si="57"/>
        <v>22684.703499999996</v>
      </c>
      <c r="O274" s="62">
        <f t="shared" si="58"/>
        <v>0</v>
      </c>
      <c r="P274" s="62">
        <f t="shared" si="59"/>
        <v>49945.296500000004</v>
      </c>
    </row>
    <row r="275" spans="2:16" ht="15" customHeight="1" x14ac:dyDescent="0.35">
      <c r="B275" s="68">
        <v>270</v>
      </c>
      <c r="C275" s="69">
        <f>'Rainfall Data'!J301</f>
        <v>46292</v>
      </c>
      <c r="D275" s="70">
        <f>'Rainfall Data'!P301</f>
        <v>0</v>
      </c>
      <c r="E275" s="71">
        <f t="shared" si="48"/>
        <v>0</v>
      </c>
      <c r="F275" s="72">
        <f t="shared" si="55"/>
        <v>200</v>
      </c>
      <c r="G275" s="73">
        <f t="shared" si="49"/>
        <v>270</v>
      </c>
      <c r="H275" s="74">
        <f t="shared" si="50"/>
        <v>0</v>
      </c>
      <c r="I275" s="75">
        <f t="shared" si="51"/>
        <v>0</v>
      </c>
      <c r="J275" s="76">
        <f t="shared" si="52"/>
        <v>270</v>
      </c>
      <c r="K275" s="71">
        <f t="shared" si="53"/>
        <v>200</v>
      </c>
      <c r="L275" s="77">
        <f t="shared" si="54"/>
        <v>0</v>
      </c>
      <c r="M275" s="72">
        <f t="shared" si="56"/>
        <v>21884.703499999996</v>
      </c>
      <c r="N275" s="72">
        <f t="shared" si="57"/>
        <v>22684.703499999996</v>
      </c>
      <c r="O275" s="72">
        <f t="shared" si="58"/>
        <v>0</v>
      </c>
      <c r="P275" s="72">
        <f t="shared" si="59"/>
        <v>50215.296500000004</v>
      </c>
    </row>
    <row r="276" spans="2:16" ht="15" customHeight="1" x14ac:dyDescent="0.35">
      <c r="B276" s="52">
        <v>271</v>
      </c>
      <c r="C276" s="59">
        <f>'Rainfall Data'!J302</f>
        <v>46293</v>
      </c>
      <c r="D276" s="60">
        <f>'Rainfall Data'!P302</f>
        <v>0</v>
      </c>
      <c r="E276" s="61">
        <f t="shared" si="48"/>
        <v>0</v>
      </c>
      <c r="F276" s="62">
        <f t="shared" si="55"/>
        <v>200</v>
      </c>
      <c r="G276" s="63">
        <f t="shared" si="49"/>
        <v>270</v>
      </c>
      <c r="H276" s="64">
        <f t="shared" si="50"/>
        <v>0</v>
      </c>
      <c r="I276" s="65">
        <f t="shared" si="51"/>
        <v>0</v>
      </c>
      <c r="J276" s="66">
        <f t="shared" si="52"/>
        <v>270</v>
      </c>
      <c r="K276" s="61">
        <f t="shared" si="53"/>
        <v>200</v>
      </c>
      <c r="L276" s="67">
        <f t="shared" si="54"/>
        <v>0</v>
      </c>
      <c r="M276" s="62">
        <f t="shared" si="56"/>
        <v>21884.703499999996</v>
      </c>
      <c r="N276" s="62">
        <f t="shared" si="57"/>
        <v>22684.703499999996</v>
      </c>
      <c r="O276" s="62">
        <f t="shared" si="58"/>
        <v>0</v>
      </c>
      <c r="P276" s="62">
        <f t="shared" si="59"/>
        <v>50485.296500000004</v>
      </c>
    </row>
    <row r="277" spans="2:16" ht="15" customHeight="1" x14ac:dyDescent="0.35">
      <c r="B277" s="68">
        <v>272</v>
      </c>
      <c r="C277" s="69">
        <f>'Rainfall Data'!J303</f>
        <v>46294</v>
      </c>
      <c r="D277" s="70">
        <f>'Rainfall Data'!P303</f>
        <v>0</v>
      </c>
      <c r="E277" s="71">
        <f t="shared" si="48"/>
        <v>0</v>
      </c>
      <c r="F277" s="72">
        <f t="shared" si="55"/>
        <v>200</v>
      </c>
      <c r="G277" s="73">
        <f t="shared" si="49"/>
        <v>270</v>
      </c>
      <c r="H277" s="74">
        <f t="shared" si="50"/>
        <v>0</v>
      </c>
      <c r="I277" s="75">
        <f t="shared" si="51"/>
        <v>0</v>
      </c>
      <c r="J277" s="76">
        <f t="shared" si="52"/>
        <v>270</v>
      </c>
      <c r="K277" s="71">
        <f t="shared" si="53"/>
        <v>200</v>
      </c>
      <c r="L277" s="77">
        <f t="shared" si="54"/>
        <v>0</v>
      </c>
      <c r="M277" s="72">
        <f t="shared" si="56"/>
        <v>21884.703499999996</v>
      </c>
      <c r="N277" s="72">
        <f t="shared" si="57"/>
        <v>22684.703499999996</v>
      </c>
      <c r="O277" s="72">
        <f t="shared" si="58"/>
        <v>0</v>
      </c>
      <c r="P277" s="72">
        <f t="shared" si="59"/>
        <v>50755.296500000004</v>
      </c>
    </row>
    <row r="278" spans="2:16" ht="15" customHeight="1" x14ac:dyDescent="0.35">
      <c r="B278" s="52">
        <v>273</v>
      </c>
      <c r="C278" s="59">
        <f>'Rainfall Data'!J304</f>
        <v>46295</v>
      </c>
      <c r="D278" s="60">
        <f>'Rainfall Data'!P304</f>
        <v>0</v>
      </c>
      <c r="E278" s="61">
        <f t="shared" si="48"/>
        <v>0</v>
      </c>
      <c r="F278" s="62">
        <f t="shared" si="55"/>
        <v>200</v>
      </c>
      <c r="G278" s="63">
        <f t="shared" si="49"/>
        <v>270</v>
      </c>
      <c r="H278" s="64">
        <f t="shared" si="50"/>
        <v>0</v>
      </c>
      <c r="I278" s="65">
        <f t="shared" si="51"/>
        <v>0</v>
      </c>
      <c r="J278" s="66">
        <f t="shared" si="52"/>
        <v>270</v>
      </c>
      <c r="K278" s="61">
        <f t="shared" si="53"/>
        <v>200</v>
      </c>
      <c r="L278" s="67">
        <f t="shared" si="54"/>
        <v>0</v>
      </c>
      <c r="M278" s="62">
        <f t="shared" si="56"/>
        <v>21884.703499999996</v>
      </c>
      <c r="N278" s="62">
        <f t="shared" si="57"/>
        <v>22684.703499999996</v>
      </c>
      <c r="O278" s="62">
        <f t="shared" si="58"/>
        <v>0</v>
      </c>
      <c r="P278" s="62">
        <f t="shared" si="59"/>
        <v>51025.296500000004</v>
      </c>
    </row>
    <row r="279" spans="2:16" ht="15" customHeight="1" x14ac:dyDescent="0.35">
      <c r="B279" s="68">
        <v>274</v>
      </c>
      <c r="C279" s="69">
        <f>'Rainfall Data'!J305</f>
        <v>46296</v>
      </c>
      <c r="D279" s="70">
        <f>'Rainfall Data'!P305</f>
        <v>0</v>
      </c>
      <c r="E279" s="71">
        <f t="shared" si="48"/>
        <v>0</v>
      </c>
      <c r="F279" s="72">
        <f t="shared" si="55"/>
        <v>200</v>
      </c>
      <c r="G279" s="73">
        <f t="shared" si="49"/>
        <v>270</v>
      </c>
      <c r="H279" s="74">
        <f t="shared" si="50"/>
        <v>0</v>
      </c>
      <c r="I279" s="75">
        <f t="shared" si="51"/>
        <v>0</v>
      </c>
      <c r="J279" s="76">
        <f t="shared" si="52"/>
        <v>270</v>
      </c>
      <c r="K279" s="71">
        <f t="shared" si="53"/>
        <v>200</v>
      </c>
      <c r="L279" s="77">
        <f t="shared" si="54"/>
        <v>0</v>
      </c>
      <c r="M279" s="72">
        <f t="shared" si="56"/>
        <v>21884.703499999996</v>
      </c>
      <c r="N279" s="72">
        <f t="shared" si="57"/>
        <v>22684.703499999996</v>
      </c>
      <c r="O279" s="72">
        <f t="shared" si="58"/>
        <v>0</v>
      </c>
      <c r="P279" s="72">
        <f t="shared" si="59"/>
        <v>51295.296500000004</v>
      </c>
    </row>
    <row r="280" spans="2:16" ht="15" customHeight="1" x14ac:dyDescent="0.35">
      <c r="B280" s="52">
        <v>275</v>
      </c>
      <c r="C280" s="59">
        <f>'Rainfall Data'!J306</f>
        <v>46297</v>
      </c>
      <c r="D280" s="60">
        <f>'Rainfall Data'!P306</f>
        <v>0</v>
      </c>
      <c r="E280" s="61">
        <f t="shared" si="48"/>
        <v>0</v>
      </c>
      <c r="F280" s="62">
        <f t="shared" si="55"/>
        <v>200</v>
      </c>
      <c r="G280" s="63">
        <f t="shared" si="49"/>
        <v>270</v>
      </c>
      <c r="H280" s="64">
        <f t="shared" si="50"/>
        <v>0</v>
      </c>
      <c r="I280" s="65">
        <f t="shared" si="51"/>
        <v>0</v>
      </c>
      <c r="J280" s="66">
        <f t="shared" si="52"/>
        <v>270</v>
      </c>
      <c r="K280" s="61">
        <f t="shared" si="53"/>
        <v>200</v>
      </c>
      <c r="L280" s="67">
        <f t="shared" si="54"/>
        <v>0</v>
      </c>
      <c r="M280" s="62">
        <f t="shared" si="56"/>
        <v>21884.703499999996</v>
      </c>
      <c r="N280" s="62">
        <f t="shared" si="57"/>
        <v>22684.703499999996</v>
      </c>
      <c r="O280" s="62">
        <f t="shared" si="58"/>
        <v>0</v>
      </c>
      <c r="P280" s="62">
        <f t="shared" si="59"/>
        <v>51565.296500000004</v>
      </c>
    </row>
    <row r="281" spans="2:16" ht="15" customHeight="1" x14ac:dyDescent="0.35">
      <c r="B281" s="68">
        <v>276</v>
      </c>
      <c r="C281" s="69">
        <f>'Rainfall Data'!J307</f>
        <v>46298</v>
      </c>
      <c r="D281" s="70">
        <f>'Rainfall Data'!P307</f>
        <v>0</v>
      </c>
      <c r="E281" s="71">
        <f t="shared" si="48"/>
        <v>0</v>
      </c>
      <c r="F281" s="72">
        <f t="shared" si="55"/>
        <v>200</v>
      </c>
      <c r="G281" s="73">
        <f t="shared" si="49"/>
        <v>270</v>
      </c>
      <c r="H281" s="74">
        <f t="shared" si="50"/>
        <v>0</v>
      </c>
      <c r="I281" s="75">
        <f t="shared" si="51"/>
        <v>0</v>
      </c>
      <c r="J281" s="76">
        <f t="shared" si="52"/>
        <v>270</v>
      </c>
      <c r="K281" s="71">
        <f t="shared" si="53"/>
        <v>200</v>
      </c>
      <c r="L281" s="77">
        <f t="shared" si="54"/>
        <v>0</v>
      </c>
      <c r="M281" s="72">
        <f t="shared" si="56"/>
        <v>21884.703499999996</v>
      </c>
      <c r="N281" s="72">
        <f t="shared" si="57"/>
        <v>22684.703499999996</v>
      </c>
      <c r="O281" s="72">
        <f t="shared" si="58"/>
        <v>0</v>
      </c>
      <c r="P281" s="72">
        <f t="shared" si="59"/>
        <v>51835.296500000004</v>
      </c>
    </row>
    <row r="282" spans="2:16" ht="15" customHeight="1" x14ac:dyDescent="0.35">
      <c r="B282" s="52">
        <v>277</v>
      </c>
      <c r="C282" s="59">
        <f>'Rainfall Data'!J308</f>
        <v>46299</v>
      </c>
      <c r="D282" s="60">
        <f>'Rainfall Data'!P308</f>
        <v>0</v>
      </c>
      <c r="E282" s="61">
        <f t="shared" si="48"/>
        <v>0</v>
      </c>
      <c r="F282" s="62">
        <f t="shared" si="55"/>
        <v>200</v>
      </c>
      <c r="G282" s="63">
        <f t="shared" si="49"/>
        <v>270</v>
      </c>
      <c r="H282" s="64">
        <f t="shared" si="50"/>
        <v>0</v>
      </c>
      <c r="I282" s="65">
        <f t="shared" si="51"/>
        <v>0</v>
      </c>
      <c r="J282" s="66">
        <f t="shared" si="52"/>
        <v>270</v>
      </c>
      <c r="K282" s="61">
        <f t="shared" si="53"/>
        <v>200</v>
      </c>
      <c r="L282" s="67">
        <f t="shared" si="54"/>
        <v>0</v>
      </c>
      <c r="M282" s="62">
        <f t="shared" si="56"/>
        <v>21884.703499999996</v>
      </c>
      <c r="N282" s="62">
        <f t="shared" si="57"/>
        <v>22684.703499999996</v>
      </c>
      <c r="O282" s="62">
        <f t="shared" si="58"/>
        <v>0</v>
      </c>
      <c r="P282" s="62">
        <f t="shared" si="59"/>
        <v>52105.296500000004</v>
      </c>
    </row>
    <row r="283" spans="2:16" ht="15" customHeight="1" x14ac:dyDescent="0.35">
      <c r="B283" s="68">
        <v>278</v>
      </c>
      <c r="C283" s="69">
        <f>'Rainfall Data'!J309</f>
        <v>46300</v>
      </c>
      <c r="D283" s="70">
        <f>'Rainfall Data'!P309</f>
        <v>0</v>
      </c>
      <c r="E283" s="71">
        <f t="shared" si="48"/>
        <v>0</v>
      </c>
      <c r="F283" s="72">
        <f t="shared" si="55"/>
        <v>200</v>
      </c>
      <c r="G283" s="73">
        <f t="shared" si="49"/>
        <v>270</v>
      </c>
      <c r="H283" s="74">
        <f t="shared" si="50"/>
        <v>0</v>
      </c>
      <c r="I283" s="75">
        <f t="shared" si="51"/>
        <v>0</v>
      </c>
      <c r="J283" s="76">
        <f t="shared" si="52"/>
        <v>270</v>
      </c>
      <c r="K283" s="71">
        <f t="shared" si="53"/>
        <v>200</v>
      </c>
      <c r="L283" s="77">
        <f t="shared" si="54"/>
        <v>0</v>
      </c>
      <c r="M283" s="72">
        <f t="shared" si="56"/>
        <v>21884.703499999996</v>
      </c>
      <c r="N283" s="72">
        <f t="shared" si="57"/>
        <v>22684.703499999996</v>
      </c>
      <c r="O283" s="72">
        <f t="shared" si="58"/>
        <v>0</v>
      </c>
      <c r="P283" s="72">
        <f t="shared" si="59"/>
        <v>52375.296500000004</v>
      </c>
    </row>
    <row r="284" spans="2:16" ht="15" customHeight="1" x14ac:dyDescent="0.35">
      <c r="B284" s="52">
        <v>279</v>
      </c>
      <c r="C284" s="59">
        <f>'Rainfall Data'!J310</f>
        <v>46301</v>
      </c>
      <c r="D284" s="60">
        <f>'Rainfall Data'!P310</f>
        <v>0</v>
      </c>
      <c r="E284" s="61">
        <f t="shared" si="48"/>
        <v>0</v>
      </c>
      <c r="F284" s="62">
        <f t="shared" si="55"/>
        <v>200</v>
      </c>
      <c r="G284" s="63">
        <f t="shared" si="49"/>
        <v>270</v>
      </c>
      <c r="H284" s="64">
        <f t="shared" si="50"/>
        <v>0</v>
      </c>
      <c r="I284" s="65">
        <f t="shared" si="51"/>
        <v>0</v>
      </c>
      <c r="J284" s="66">
        <f t="shared" si="52"/>
        <v>270</v>
      </c>
      <c r="K284" s="61">
        <f t="shared" si="53"/>
        <v>200</v>
      </c>
      <c r="L284" s="67">
        <f t="shared" si="54"/>
        <v>0</v>
      </c>
      <c r="M284" s="62">
        <f t="shared" si="56"/>
        <v>21884.703499999996</v>
      </c>
      <c r="N284" s="62">
        <f t="shared" si="57"/>
        <v>22684.703499999996</v>
      </c>
      <c r="O284" s="62">
        <f t="shared" si="58"/>
        <v>0</v>
      </c>
      <c r="P284" s="62">
        <f t="shared" si="59"/>
        <v>52645.296500000004</v>
      </c>
    </row>
    <row r="285" spans="2:16" ht="15" customHeight="1" x14ac:dyDescent="0.35">
      <c r="B285" s="68">
        <v>280</v>
      </c>
      <c r="C285" s="69">
        <f>'Rainfall Data'!J311</f>
        <v>46302</v>
      </c>
      <c r="D285" s="70">
        <f>'Rainfall Data'!P311</f>
        <v>0</v>
      </c>
      <c r="E285" s="71">
        <f t="shared" si="48"/>
        <v>0</v>
      </c>
      <c r="F285" s="72">
        <f t="shared" si="55"/>
        <v>200</v>
      </c>
      <c r="G285" s="73">
        <f t="shared" si="49"/>
        <v>270</v>
      </c>
      <c r="H285" s="74">
        <f t="shared" si="50"/>
        <v>0</v>
      </c>
      <c r="I285" s="75">
        <f t="shared" si="51"/>
        <v>0</v>
      </c>
      <c r="J285" s="76">
        <f t="shared" si="52"/>
        <v>270</v>
      </c>
      <c r="K285" s="71">
        <f t="shared" si="53"/>
        <v>200</v>
      </c>
      <c r="L285" s="77">
        <f t="shared" si="54"/>
        <v>0</v>
      </c>
      <c r="M285" s="72">
        <f t="shared" si="56"/>
        <v>21884.703499999996</v>
      </c>
      <c r="N285" s="72">
        <f t="shared" si="57"/>
        <v>22684.703499999996</v>
      </c>
      <c r="O285" s="72">
        <f t="shared" si="58"/>
        <v>0</v>
      </c>
      <c r="P285" s="72">
        <f t="shared" si="59"/>
        <v>52915.296500000004</v>
      </c>
    </row>
    <row r="286" spans="2:16" ht="15" customHeight="1" x14ac:dyDescent="0.35">
      <c r="B286" s="52">
        <v>281</v>
      </c>
      <c r="C286" s="59">
        <f>'Rainfall Data'!J312</f>
        <v>46303</v>
      </c>
      <c r="D286" s="60">
        <f>'Rainfall Data'!P312</f>
        <v>0</v>
      </c>
      <c r="E286" s="61">
        <f t="shared" si="48"/>
        <v>0</v>
      </c>
      <c r="F286" s="62">
        <f t="shared" si="55"/>
        <v>200</v>
      </c>
      <c r="G286" s="63">
        <f t="shared" si="49"/>
        <v>270</v>
      </c>
      <c r="H286" s="64">
        <f t="shared" si="50"/>
        <v>0</v>
      </c>
      <c r="I286" s="65">
        <f t="shared" si="51"/>
        <v>0</v>
      </c>
      <c r="J286" s="66">
        <f t="shared" si="52"/>
        <v>270</v>
      </c>
      <c r="K286" s="61">
        <f t="shared" si="53"/>
        <v>200</v>
      </c>
      <c r="L286" s="67">
        <f t="shared" si="54"/>
        <v>0</v>
      </c>
      <c r="M286" s="62">
        <f t="shared" si="56"/>
        <v>21884.703499999996</v>
      </c>
      <c r="N286" s="62">
        <f t="shared" si="57"/>
        <v>22684.703499999996</v>
      </c>
      <c r="O286" s="62">
        <f t="shared" si="58"/>
        <v>0</v>
      </c>
      <c r="P286" s="62">
        <f t="shared" si="59"/>
        <v>53185.296500000004</v>
      </c>
    </row>
    <row r="287" spans="2:16" ht="15" customHeight="1" x14ac:dyDescent="0.35">
      <c r="B287" s="68">
        <v>282</v>
      </c>
      <c r="C287" s="69">
        <f>'Rainfall Data'!J313</f>
        <v>46304</v>
      </c>
      <c r="D287" s="70">
        <f>'Rainfall Data'!P313</f>
        <v>0</v>
      </c>
      <c r="E287" s="71">
        <f t="shared" si="48"/>
        <v>0</v>
      </c>
      <c r="F287" s="72">
        <f t="shared" si="55"/>
        <v>200</v>
      </c>
      <c r="G287" s="73">
        <f t="shared" si="49"/>
        <v>270</v>
      </c>
      <c r="H287" s="74">
        <f t="shared" si="50"/>
        <v>0</v>
      </c>
      <c r="I287" s="75">
        <f t="shared" si="51"/>
        <v>0</v>
      </c>
      <c r="J287" s="76">
        <f t="shared" si="52"/>
        <v>270</v>
      </c>
      <c r="K287" s="71">
        <f t="shared" si="53"/>
        <v>200</v>
      </c>
      <c r="L287" s="77">
        <f t="shared" si="54"/>
        <v>0</v>
      </c>
      <c r="M287" s="72">
        <f t="shared" si="56"/>
        <v>21884.703499999996</v>
      </c>
      <c r="N287" s="72">
        <f t="shared" si="57"/>
        <v>22684.703499999996</v>
      </c>
      <c r="O287" s="72">
        <f t="shared" si="58"/>
        <v>0</v>
      </c>
      <c r="P287" s="72">
        <f t="shared" si="59"/>
        <v>53455.296500000004</v>
      </c>
    </row>
    <row r="288" spans="2:16" ht="15" customHeight="1" x14ac:dyDescent="0.35">
      <c r="B288" s="52">
        <v>283</v>
      </c>
      <c r="C288" s="59">
        <f>'Rainfall Data'!J314</f>
        <v>46305</v>
      </c>
      <c r="D288" s="60">
        <f>'Rainfall Data'!P314</f>
        <v>0</v>
      </c>
      <c r="E288" s="61">
        <f t="shared" si="48"/>
        <v>0</v>
      </c>
      <c r="F288" s="62">
        <f t="shared" si="55"/>
        <v>200</v>
      </c>
      <c r="G288" s="63">
        <f t="shared" si="49"/>
        <v>270</v>
      </c>
      <c r="H288" s="64">
        <f t="shared" si="50"/>
        <v>0</v>
      </c>
      <c r="I288" s="65">
        <f t="shared" si="51"/>
        <v>0</v>
      </c>
      <c r="J288" s="66">
        <f t="shared" si="52"/>
        <v>270</v>
      </c>
      <c r="K288" s="61">
        <f t="shared" si="53"/>
        <v>200</v>
      </c>
      <c r="L288" s="67">
        <f t="shared" si="54"/>
        <v>0</v>
      </c>
      <c r="M288" s="62">
        <f t="shared" si="56"/>
        <v>21884.703499999996</v>
      </c>
      <c r="N288" s="62">
        <f t="shared" si="57"/>
        <v>22684.703499999996</v>
      </c>
      <c r="O288" s="62">
        <f t="shared" si="58"/>
        <v>0</v>
      </c>
      <c r="P288" s="62">
        <f t="shared" si="59"/>
        <v>53725.296500000004</v>
      </c>
    </row>
    <row r="289" spans="2:16" ht="15" customHeight="1" x14ac:dyDescent="0.35">
      <c r="B289" s="68">
        <v>284</v>
      </c>
      <c r="C289" s="69">
        <f>'Rainfall Data'!J315</f>
        <v>46306</v>
      </c>
      <c r="D289" s="70">
        <f>'Rainfall Data'!P315</f>
        <v>0</v>
      </c>
      <c r="E289" s="71">
        <f t="shared" si="48"/>
        <v>0</v>
      </c>
      <c r="F289" s="72">
        <f t="shared" si="55"/>
        <v>200</v>
      </c>
      <c r="G289" s="73">
        <f t="shared" si="49"/>
        <v>270</v>
      </c>
      <c r="H289" s="74">
        <f t="shared" si="50"/>
        <v>0</v>
      </c>
      <c r="I289" s="75">
        <f t="shared" si="51"/>
        <v>0</v>
      </c>
      <c r="J289" s="76">
        <f t="shared" si="52"/>
        <v>270</v>
      </c>
      <c r="K289" s="71">
        <f t="shared" si="53"/>
        <v>200</v>
      </c>
      <c r="L289" s="77">
        <f t="shared" si="54"/>
        <v>0</v>
      </c>
      <c r="M289" s="72">
        <f t="shared" si="56"/>
        <v>21884.703499999996</v>
      </c>
      <c r="N289" s="72">
        <f t="shared" si="57"/>
        <v>22684.703499999996</v>
      </c>
      <c r="O289" s="72">
        <f t="shared" si="58"/>
        <v>0</v>
      </c>
      <c r="P289" s="72">
        <f t="shared" si="59"/>
        <v>53995.296500000004</v>
      </c>
    </row>
    <row r="290" spans="2:16" ht="15" customHeight="1" x14ac:dyDescent="0.35">
      <c r="B290" s="52">
        <v>285</v>
      </c>
      <c r="C290" s="59">
        <f>'Rainfall Data'!J316</f>
        <v>46307</v>
      </c>
      <c r="D290" s="60">
        <f>'Rainfall Data'!P316</f>
        <v>0</v>
      </c>
      <c r="E290" s="61">
        <f t="shared" si="48"/>
        <v>0</v>
      </c>
      <c r="F290" s="62">
        <f t="shared" si="55"/>
        <v>200</v>
      </c>
      <c r="G290" s="63">
        <f t="shared" si="49"/>
        <v>270</v>
      </c>
      <c r="H290" s="64">
        <f t="shared" si="50"/>
        <v>0</v>
      </c>
      <c r="I290" s="65">
        <f t="shared" si="51"/>
        <v>0</v>
      </c>
      <c r="J290" s="66">
        <f t="shared" si="52"/>
        <v>270</v>
      </c>
      <c r="K290" s="61">
        <f t="shared" si="53"/>
        <v>200</v>
      </c>
      <c r="L290" s="67">
        <f t="shared" si="54"/>
        <v>0</v>
      </c>
      <c r="M290" s="62">
        <f t="shared" si="56"/>
        <v>21884.703499999996</v>
      </c>
      <c r="N290" s="62">
        <f t="shared" si="57"/>
        <v>22684.703499999996</v>
      </c>
      <c r="O290" s="62">
        <f t="shared" si="58"/>
        <v>0</v>
      </c>
      <c r="P290" s="62">
        <f t="shared" si="59"/>
        <v>54265.296500000004</v>
      </c>
    </row>
    <row r="291" spans="2:16" ht="15" customHeight="1" x14ac:dyDescent="0.35">
      <c r="B291" s="68">
        <v>286</v>
      </c>
      <c r="C291" s="69">
        <f>'Rainfall Data'!J317</f>
        <v>46308</v>
      </c>
      <c r="D291" s="70">
        <f>'Rainfall Data'!P317</f>
        <v>0</v>
      </c>
      <c r="E291" s="71">
        <f t="shared" si="48"/>
        <v>0</v>
      </c>
      <c r="F291" s="72">
        <f t="shared" si="55"/>
        <v>200</v>
      </c>
      <c r="G291" s="73">
        <f t="shared" si="49"/>
        <v>270</v>
      </c>
      <c r="H291" s="74">
        <f t="shared" si="50"/>
        <v>0</v>
      </c>
      <c r="I291" s="75">
        <f t="shared" si="51"/>
        <v>0</v>
      </c>
      <c r="J291" s="76">
        <f t="shared" si="52"/>
        <v>270</v>
      </c>
      <c r="K291" s="71">
        <f t="shared" si="53"/>
        <v>200</v>
      </c>
      <c r="L291" s="77">
        <f t="shared" si="54"/>
        <v>0</v>
      </c>
      <c r="M291" s="72">
        <f t="shared" si="56"/>
        <v>21884.703499999996</v>
      </c>
      <c r="N291" s="72">
        <f t="shared" si="57"/>
        <v>22684.703499999996</v>
      </c>
      <c r="O291" s="72">
        <f t="shared" si="58"/>
        <v>0</v>
      </c>
      <c r="P291" s="72">
        <f t="shared" si="59"/>
        <v>54535.296500000004</v>
      </c>
    </row>
    <row r="292" spans="2:16" ht="15" customHeight="1" x14ac:dyDescent="0.35">
      <c r="B292" s="52">
        <v>287</v>
      </c>
      <c r="C292" s="59">
        <f>'Rainfall Data'!J318</f>
        <v>46309</v>
      </c>
      <c r="D292" s="60">
        <f>'Rainfall Data'!P318</f>
        <v>0</v>
      </c>
      <c r="E292" s="61">
        <f t="shared" si="48"/>
        <v>0</v>
      </c>
      <c r="F292" s="62">
        <f t="shared" si="55"/>
        <v>200</v>
      </c>
      <c r="G292" s="63">
        <f t="shared" si="49"/>
        <v>270</v>
      </c>
      <c r="H292" s="64">
        <f t="shared" si="50"/>
        <v>0</v>
      </c>
      <c r="I292" s="65">
        <f t="shared" si="51"/>
        <v>0</v>
      </c>
      <c r="J292" s="66">
        <f t="shared" si="52"/>
        <v>270</v>
      </c>
      <c r="K292" s="61">
        <f t="shared" si="53"/>
        <v>200</v>
      </c>
      <c r="L292" s="67">
        <f t="shared" si="54"/>
        <v>0</v>
      </c>
      <c r="M292" s="62">
        <f t="shared" si="56"/>
        <v>21884.703499999996</v>
      </c>
      <c r="N292" s="62">
        <f t="shared" si="57"/>
        <v>22684.703499999996</v>
      </c>
      <c r="O292" s="62">
        <f t="shared" si="58"/>
        <v>0</v>
      </c>
      <c r="P292" s="62">
        <f t="shared" si="59"/>
        <v>54805.296500000004</v>
      </c>
    </row>
    <row r="293" spans="2:16" ht="15" customHeight="1" x14ac:dyDescent="0.35">
      <c r="B293" s="68">
        <v>288</v>
      </c>
      <c r="C293" s="69">
        <f>'Rainfall Data'!J319</f>
        <v>46310</v>
      </c>
      <c r="D293" s="70">
        <f>'Rainfall Data'!P319</f>
        <v>0</v>
      </c>
      <c r="E293" s="71">
        <f t="shared" si="48"/>
        <v>0</v>
      </c>
      <c r="F293" s="72">
        <f t="shared" si="55"/>
        <v>200</v>
      </c>
      <c r="G293" s="73">
        <f t="shared" si="49"/>
        <v>270</v>
      </c>
      <c r="H293" s="74">
        <f t="shared" si="50"/>
        <v>0</v>
      </c>
      <c r="I293" s="75">
        <f t="shared" si="51"/>
        <v>0</v>
      </c>
      <c r="J293" s="76">
        <f t="shared" si="52"/>
        <v>270</v>
      </c>
      <c r="K293" s="71">
        <f t="shared" si="53"/>
        <v>200</v>
      </c>
      <c r="L293" s="77">
        <f t="shared" si="54"/>
        <v>0</v>
      </c>
      <c r="M293" s="72">
        <f t="shared" si="56"/>
        <v>21884.703499999996</v>
      </c>
      <c r="N293" s="72">
        <f t="shared" si="57"/>
        <v>22684.703499999996</v>
      </c>
      <c r="O293" s="72">
        <f t="shared" si="58"/>
        <v>0</v>
      </c>
      <c r="P293" s="72">
        <f t="shared" si="59"/>
        <v>55075.296500000004</v>
      </c>
    </row>
    <row r="294" spans="2:16" ht="15" customHeight="1" x14ac:dyDescent="0.35">
      <c r="B294" s="52">
        <v>289</v>
      </c>
      <c r="C294" s="59">
        <f>'Rainfall Data'!J320</f>
        <v>46311</v>
      </c>
      <c r="D294" s="60">
        <f>'Rainfall Data'!P320</f>
        <v>2</v>
      </c>
      <c r="E294" s="61">
        <f t="shared" si="48"/>
        <v>172.32049999999998</v>
      </c>
      <c r="F294" s="62">
        <f t="shared" si="55"/>
        <v>200</v>
      </c>
      <c r="G294" s="63">
        <f t="shared" si="49"/>
        <v>270</v>
      </c>
      <c r="H294" s="64">
        <f t="shared" si="50"/>
        <v>172.32049999999998</v>
      </c>
      <c r="I294" s="65">
        <f t="shared" si="51"/>
        <v>0</v>
      </c>
      <c r="J294" s="66">
        <f t="shared" si="52"/>
        <v>97.679500000000019</v>
      </c>
      <c r="K294" s="61">
        <f t="shared" si="53"/>
        <v>200</v>
      </c>
      <c r="L294" s="67">
        <f t="shared" si="54"/>
        <v>0.78327499999999994</v>
      </c>
      <c r="M294" s="62">
        <f t="shared" si="56"/>
        <v>22057.023999999998</v>
      </c>
      <c r="N294" s="62">
        <f t="shared" si="57"/>
        <v>22857.023999999998</v>
      </c>
      <c r="O294" s="62">
        <f t="shared" si="58"/>
        <v>0</v>
      </c>
      <c r="P294" s="62">
        <f t="shared" si="59"/>
        <v>55172.976000000002</v>
      </c>
    </row>
    <row r="295" spans="2:16" ht="15" customHeight="1" x14ac:dyDescent="0.35">
      <c r="B295" s="68">
        <v>290</v>
      </c>
      <c r="C295" s="69">
        <f>'Rainfall Data'!J321</f>
        <v>46312</v>
      </c>
      <c r="D295" s="70">
        <f>'Rainfall Data'!P321</f>
        <v>0</v>
      </c>
      <c r="E295" s="71">
        <f t="shared" si="48"/>
        <v>0</v>
      </c>
      <c r="F295" s="72">
        <f t="shared" si="55"/>
        <v>200</v>
      </c>
      <c r="G295" s="73">
        <f t="shared" si="49"/>
        <v>270</v>
      </c>
      <c r="H295" s="74">
        <f t="shared" si="50"/>
        <v>0</v>
      </c>
      <c r="I295" s="75">
        <f t="shared" si="51"/>
        <v>0</v>
      </c>
      <c r="J295" s="76">
        <f t="shared" si="52"/>
        <v>270</v>
      </c>
      <c r="K295" s="71">
        <f t="shared" si="53"/>
        <v>200</v>
      </c>
      <c r="L295" s="77">
        <f t="shared" si="54"/>
        <v>0</v>
      </c>
      <c r="M295" s="72">
        <f t="shared" si="56"/>
        <v>22057.023999999998</v>
      </c>
      <c r="N295" s="72">
        <f t="shared" si="57"/>
        <v>22857.023999999998</v>
      </c>
      <c r="O295" s="72">
        <f t="shared" si="58"/>
        <v>0</v>
      </c>
      <c r="P295" s="72">
        <f t="shared" si="59"/>
        <v>55442.976000000002</v>
      </c>
    </row>
    <row r="296" spans="2:16" ht="15" customHeight="1" x14ac:dyDescent="0.35">
      <c r="B296" s="52">
        <v>291</v>
      </c>
      <c r="C296" s="59">
        <f>'Rainfall Data'!J322</f>
        <v>46313</v>
      </c>
      <c r="D296" s="60">
        <f>'Rainfall Data'!P322</f>
        <v>0</v>
      </c>
      <c r="E296" s="61">
        <f t="shared" si="48"/>
        <v>0</v>
      </c>
      <c r="F296" s="62">
        <f t="shared" si="55"/>
        <v>200</v>
      </c>
      <c r="G296" s="63">
        <f t="shared" si="49"/>
        <v>270</v>
      </c>
      <c r="H296" s="64">
        <f t="shared" si="50"/>
        <v>0</v>
      </c>
      <c r="I296" s="65">
        <f t="shared" si="51"/>
        <v>0</v>
      </c>
      <c r="J296" s="66">
        <f t="shared" si="52"/>
        <v>270</v>
      </c>
      <c r="K296" s="61">
        <f t="shared" si="53"/>
        <v>200</v>
      </c>
      <c r="L296" s="67">
        <f t="shared" si="54"/>
        <v>0</v>
      </c>
      <c r="M296" s="62">
        <f t="shared" si="56"/>
        <v>22057.023999999998</v>
      </c>
      <c r="N296" s="62">
        <f t="shared" si="57"/>
        <v>22857.023999999998</v>
      </c>
      <c r="O296" s="62">
        <f t="shared" si="58"/>
        <v>0</v>
      </c>
      <c r="P296" s="62">
        <f t="shared" si="59"/>
        <v>55712.976000000002</v>
      </c>
    </row>
    <row r="297" spans="2:16" ht="15" customHeight="1" x14ac:dyDescent="0.35">
      <c r="B297" s="68">
        <v>292</v>
      </c>
      <c r="C297" s="69">
        <f>'Rainfall Data'!J323</f>
        <v>46314</v>
      </c>
      <c r="D297" s="70">
        <f>'Rainfall Data'!P323</f>
        <v>0</v>
      </c>
      <c r="E297" s="71">
        <f t="shared" si="48"/>
        <v>0</v>
      </c>
      <c r="F297" s="72">
        <f t="shared" si="55"/>
        <v>200</v>
      </c>
      <c r="G297" s="73">
        <f t="shared" si="49"/>
        <v>270</v>
      </c>
      <c r="H297" s="74">
        <f t="shared" si="50"/>
        <v>0</v>
      </c>
      <c r="I297" s="75">
        <f t="shared" si="51"/>
        <v>0</v>
      </c>
      <c r="J297" s="76">
        <f t="shared" si="52"/>
        <v>270</v>
      </c>
      <c r="K297" s="71">
        <f t="shared" si="53"/>
        <v>200</v>
      </c>
      <c r="L297" s="77">
        <f t="shared" si="54"/>
        <v>0</v>
      </c>
      <c r="M297" s="72">
        <f t="shared" si="56"/>
        <v>22057.023999999998</v>
      </c>
      <c r="N297" s="72">
        <f t="shared" si="57"/>
        <v>22857.023999999998</v>
      </c>
      <c r="O297" s="72">
        <f t="shared" si="58"/>
        <v>0</v>
      </c>
      <c r="P297" s="72">
        <f t="shared" si="59"/>
        <v>55982.976000000002</v>
      </c>
    </row>
    <row r="298" spans="2:16" ht="15" customHeight="1" x14ac:dyDescent="0.35">
      <c r="B298" s="52">
        <v>293</v>
      </c>
      <c r="C298" s="59">
        <f>'Rainfall Data'!J324</f>
        <v>46315</v>
      </c>
      <c r="D298" s="60">
        <f>'Rainfall Data'!P324</f>
        <v>0</v>
      </c>
      <c r="E298" s="61">
        <f t="shared" si="48"/>
        <v>0</v>
      </c>
      <c r="F298" s="62">
        <f t="shared" si="55"/>
        <v>200</v>
      </c>
      <c r="G298" s="63">
        <f t="shared" si="49"/>
        <v>270</v>
      </c>
      <c r="H298" s="64">
        <f t="shared" si="50"/>
        <v>0</v>
      </c>
      <c r="I298" s="65">
        <f t="shared" si="51"/>
        <v>0</v>
      </c>
      <c r="J298" s="66">
        <f t="shared" si="52"/>
        <v>270</v>
      </c>
      <c r="K298" s="61">
        <f t="shared" si="53"/>
        <v>200</v>
      </c>
      <c r="L298" s="67">
        <f t="shared" si="54"/>
        <v>0</v>
      </c>
      <c r="M298" s="62">
        <f t="shared" si="56"/>
        <v>22057.023999999998</v>
      </c>
      <c r="N298" s="62">
        <f t="shared" si="57"/>
        <v>22857.023999999998</v>
      </c>
      <c r="O298" s="62">
        <f t="shared" si="58"/>
        <v>0</v>
      </c>
      <c r="P298" s="62">
        <f t="shared" si="59"/>
        <v>56252.976000000002</v>
      </c>
    </row>
    <row r="299" spans="2:16" ht="15" customHeight="1" x14ac:dyDescent="0.35">
      <c r="B299" s="68">
        <v>294</v>
      </c>
      <c r="C299" s="69">
        <f>'Rainfall Data'!J325</f>
        <v>46316</v>
      </c>
      <c r="D299" s="70">
        <f>'Rainfall Data'!P325</f>
        <v>0</v>
      </c>
      <c r="E299" s="71">
        <f t="shared" si="48"/>
        <v>0</v>
      </c>
      <c r="F299" s="72">
        <f t="shared" si="55"/>
        <v>200</v>
      </c>
      <c r="G299" s="73">
        <f t="shared" si="49"/>
        <v>270</v>
      </c>
      <c r="H299" s="74">
        <f t="shared" si="50"/>
        <v>0</v>
      </c>
      <c r="I299" s="75">
        <f t="shared" si="51"/>
        <v>0</v>
      </c>
      <c r="J299" s="76">
        <f t="shared" si="52"/>
        <v>270</v>
      </c>
      <c r="K299" s="71">
        <f t="shared" si="53"/>
        <v>200</v>
      </c>
      <c r="L299" s="77">
        <f t="shared" si="54"/>
        <v>0</v>
      </c>
      <c r="M299" s="72">
        <f t="shared" si="56"/>
        <v>22057.023999999998</v>
      </c>
      <c r="N299" s="72">
        <f t="shared" si="57"/>
        <v>22857.023999999998</v>
      </c>
      <c r="O299" s="72">
        <f t="shared" si="58"/>
        <v>0</v>
      </c>
      <c r="P299" s="72">
        <f t="shared" si="59"/>
        <v>56522.976000000002</v>
      </c>
    </row>
    <row r="300" spans="2:16" ht="15" customHeight="1" x14ac:dyDescent="0.35">
      <c r="B300" s="52">
        <v>295</v>
      </c>
      <c r="C300" s="59">
        <f>'Rainfall Data'!J326</f>
        <v>46317</v>
      </c>
      <c r="D300" s="60">
        <f>'Rainfall Data'!P326</f>
        <v>0</v>
      </c>
      <c r="E300" s="61">
        <f t="shared" si="48"/>
        <v>0</v>
      </c>
      <c r="F300" s="62">
        <f t="shared" si="55"/>
        <v>200</v>
      </c>
      <c r="G300" s="63">
        <f t="shared" si="49"/>
        <v>270</v>
      </c>
      <c r="H300" s="64">
        <f t="shared" si="50"/>
        <v>0</v>
      </c>
      <c r="I300" s="65">
        <f t="shared" si="51"/>
        <v>0</v>
      </c>
      <c r="J300" s="66">
        <f t="shared" si="52"/>
        <v>270</v>
      </c>
      <c r="K300" s="61">
        <f t="shared" si="53"/>
        <v>200</v>
      </c>
      <c r="L300" s="67">
        <f t="shared" si="54"/>
        <v>0</v>
      </c>
      <c r="M300" s="62">
        <f t="shared" si="56"/>
        <v>22057.023999999998</v>
      </c>
      <c r="N300" s="62">
        <f t="shared" si="57"/>
        <v>22857.023999999998</v>
      </c>
      <c r="O300" s="62">
        <f t="shared" si="58"/>
        <v>0</v>
      </c>
      <c r="P300" s="62">
        <f t="shared" si="59"/>
        <v>56792.976000000002</v>
      </c>
    </row>
    <row r="301" spans="2:16" ht="15" customHeight="1" x14ac:dyDescent="0.35">
      <c r="B301" s="68">
        <v>296</v>
      </c>
      <c r="C301" s="69">
        <f>'Rainfall Data'!J327</f>
        <v>46318</v>
      </c>
      <c r="D301" s="70">
        <f>'Rainfall Data'!P327</f>
        <v>0</v>
      </c>
      <c r="E301" s="71">
        <f t="shared" si="48"/>
        <v>0</v>
      </c>
      <c r="F301" s="72">
        <f t="shared" si="55"/>
        <v>200</v>
      </c>
      <c r="G301" s="73">
        <f t="shared" si="49"/>
        <v>270</v>
      </c>
      <c r="H301" s="74">
        <f t="shared" si="50"/>
        <v>0</v>
      </c>
      <c r="I301" s="75">
        <f t="shared" si="51"/>
        <v>0</v>
      </c>
      <c r="J301" s="76">
        <f t="shared" si="52"/>
        <v>270</v>
      </c>
      <c r="K301" s="71">
        <f t="shared" si="53"/>
        <v>200</v>
      </c>
      <c r="L301" s="77">
        <f t="shared" si="54"/>
        <v>0</v>
      </c>
      <c r="M301" s="72">
        <f t="shared" si="56"/>
        <v>22057.023999999998</v>
      </c>
      <c r="N301" s="72">
        <f t="shared" si="57"/>
        <v>22857.023999999998</v>
      </c>
      <c r="O301" s="72">
        <f t="shared" si="58"/>
        <v>0</v>
      </c>
      <c r="P301" s="72">
        <f t="shared" si="59"/>
        <v>57062.976000000002</v>
      </c>
    </row>
    <row r="302" spans="2:16" ht="15" customHeight="1" x14ac:dyDescent="0.35">
      <c r="B302" s="52">
        <v>297</v>
      </c>
      <c r="C302" s="59">
        <f>'Rainfall Data'!J328</f>
        <v>46319</v>
      </c>
      <c r="D302" s="60">
        <f>'Rainfall Data'!P328</f>
        <v>0</v>
      </c>
      <c r="E302" s="61">
        <f t="shared" si="48"/>
        <v>0</v>
      </c>
      <c r="F302" s="62">
        <f t="shared" si="55"/>
        <v>200</v>
      </c>
      <c r="G302" s="63">
        <f t="shared" si="49"/>
        <v>270</v>
      </c>
      <c r="H302" s="64">
        <f t="shared" si="50"/>
        <v>0</v>
      </c>
      <c r="I302" s="65">
        <f t="shared" si="51"/>
        <v>0</v>
      </c>
      <c r="J302" s="66">
        <f t="shared" si="52"/>
        <v>270</v>
      </c>
      <c r="K302" s="61">
        <f t="shared" si="53"/>
        <v>200</v>
      </c>
      <c r="L302" s="67">
        <f t="shared" si="54"/>
        <v>0</v>
      </c>
      <c r="M302" s="62">
        <f t="shared" si="56"/>
        <v>22057.023999999998</v>
      </c>
      <c r="N302" s="62">
        <f t="shared" si="57"/>
        <v>22857.023999999998</v>
      </c>
      <c r="O302" s="62">
        <f t="shared" si="58"/>
        <v>0</v>
      </c>
      <c r="P302" s="62">
        <f t="shared" si="59"/>
        <v>57332.976000000002</v>
      </c>
    </row>
    <row r="303" spans="2:16" ht="15" customHeight="1" x14ac:dyDescent="0.35">
      <c r="B303" s="68">
        <v>298</v>
      </c>
      <c r="C303" s="69">
        <f>'Rainfall Data'!J329</f>
        <v>46320</v>
      </c>
      <c r="D303" s="70">
        <f>'Rainfall Data'!P329</f>
        <v>0</v>
      </c>
      <c r="E303" s="71">
        <f t="shared" si="48"/>
        <v>0</v>
      </c>
      <c r="F303" s="72">
        <f t="shared" si="55"/>
        <v>200</v>
      </c>
      <c r="G303" s="73">
        <f t="shared" si="49"/>
        <v>270</v>
      </c>
      <c r="H303" s="74">
        <f t="shared" si="50"/>
        <v>0</v>
      </c>
      <c r="I303" s="75">
        <f t="shared" si="51"/>
        <v>0</v>
      </c>
      <c r="J303" s="76">
        <f t="shared" si="52"/>
        <v>270</v>
      </c>
      <c r="K303" s="71">
        <f t="shared" si="53"/>
        <v>200</v>
      </c>
      <c r="L303" s="77">
        <f t="shared" si="54"/>
        <v>0</v>
      </c>
      <c r="M303" s="72">
        <f t="shared" si="56"/>
        <v>22057.023999999998</v>
      </c>
      <c r="N303" s="72">
        <f t="shared" si="57"/>
        <v>22857.023999999998</v>
      </c>
      <c r="O303" s="72">
        <f t="shared" si="58"/>
        <v>0</v>
      </c>
      <c r="P303" s="72">
        <f t="shared" si="59"/>
        <v>57602.976000000002</v>
      </c>
    </row>
    <row r="304" spans="2:16" ht="15" customHeight="1" x14ac:dyDescent="0.35">
      <c r="B304" s="52">
        <v>299</v>
      </c>
      <c r="C304" s="59">
        <f>'Rainfall Data'!J330</f>
        <v>46321</v>
      </c>
      <c r="D304" s="60">
        <f>'Rainfall Data'!P330</f>
        <v>0</v>
      </c>
      <c r="E304" s="61">
        <f t="shared" si="48"/>
        <v>0</v>
      </c>
      <c r="F304" s="62">
        <f t="shared" si="55"/>
        <v>200</v>
      </c>
      <c r="G304" s="63">
        <f t="shared" si="49"/>
        <v>270</v>
      </c>
      <c r="H304" s="64">
        <f t="shared" si="50"/>
        <v>0</v>
      </c>
      <c r="I304" s="65">
        <f t="shared" si="51"/>
        <v>0</v>
      </c>
      <c r="J304" s="66">
        <f t="shared" si="52"/>
        <v>270</v>
      </c>
      <c r="K304" s="61">
        <f t="shared" si="53"/>
        <v>200</v>
      </c>
      <c r="L304" s="67">
        <f t="shared" si="54"/>
        <v>0</v>
      </c>
      <c r="M304" s="62">
        <f t="shared" si="56"/>
        <v>22057.023999999998</v>
      </c>
      <c r="N304" s="62">
        <f t="shared" si="57"/>
        <v>22857.023999999998</v>
      </c>
      <c r="O304" s="62">
        <f t="shared" si="58"/>
        <v>0</v>
      </c>
      <c r="P304" s="62">
        <f t="shared" si="59"/>
        <v>57872.976000000002</v>
      </c>
    </row>
    <row r="305" spans="2:16" ht="15" customHeight="1" x14ac:dyDescent="0.35">
      <c r="B305" s="68">
        <v>300</v>
      </c>
      <c r="C305" s="69">
        <f>'Rainfall Data'!J331</f>
        <v>46322</v>
      </c>
      <c r="D305" s="70">
        <f>'Rainfall Data'!P331</f>
        <v>0</v>
      </c>
      <c r="E305" s="71">
        <f t="shared" si="48"/>
        <v>0</v>
      </c>
      <c r="F305" s="72">
        <f t="shared" si="55"/>
        <v>200</v>
      </c>
      <c r="G305" s="73">
        <f t="shared" si="49"/>
        <v>270</v>
      </c>
      <c r="H305" s="74">
        <f t="shared" si="50"/>
        <v>0</v>
      </c>
      <c r="I305" s="75">
        <f t="shared" si="51"/>
        <v>0</v>
      </c>
      <c r="J305" s="76">
        <f t="shared" si="52"/>
        <v>270</v>
      </c>
      <c r="K305" s="71">
        <f t="shared" si="53"/>
        <v>200</v>
      </c>
      <c r="L305" s="77">
        <f t="shared" si="54"/>
        <v>0</v>
      </c>
      <c r="M305" s="72">
        <f t="shared" si="56"/>
        <v>22057.023999999998</v>
      </c>
      <c r="N305" s="72">
        <f t="shared" si="57"/>
        <v>22857.023999999998</v>
      </c>
      <c r="O305" s="72">
        <f t="shared" si="58"/>
        <v>0</v>
      </c>
      <c r="P305" s="72">
        <f t="shared" si="59"/>
        <v>58142.976000000002</v>
      </c>
    </row>
    <row r="306" spans="2:16" ht="15" customHeight="1" x14ac:dyDescent="0.35">
      <c r="B306" s="52">
        <v>301</v>
      </c>
      <c r="C306" s="59">
        <f>'Rainfall Data'!J332</f>
        <v>46323</v>
      </c>
      <c r="D306" s="60">
        <f>'Rainfall Data'!P332</f>
        <v>0</v>
      </c>
      <c r="E306" s="61">
        <f t="shared" si="48"/>
        <v>0</v>
      </c>
      <c r="F306" s="62">
        <f t="shared" si="55"/>
        <v>200</v>
      </c>
      <c r="G306" s="63">
        <f t="shared" si="49"/>
        <v>270</v>
      </c>
      <c r="H306" s="64">
        <f t="shared" si="50"/>
        <v>0</v>
      </c>
      <c r="I306" s="65">
        <f t="shared" si="51"/>
        <v>0</v>
      </c>
      <c r="J306" s="66">
        <f t="shared" si="52"/>
        <v>270</v>
      </c>
      <c r="K306" s="61">
        <f t="shared" si="53"/>
        <v>200</v>
      </c>
      <c r="L306" s="67">
        <f t="shared" si="54"/>
        <v>0</v>
      </c>
      <c r="M306" s="62">
        <f t="shared" si="56"/>
        <v>22057.023999999998</v>
      </c>
      <c r="N306" s="62">
        <f t="shared" si="57"/>
        <v>22857.023999999998</v>
      </c>
      <c r="O306" s="62">
        <f t="shared" si="58"/>
        <v>0</v>
      </c>
      <c r="P306" s="62">
        <f t="shared" si="59"/>
        <v>58412.976000000002</v>
      </c>
    </row>
    <row r="307" spans="2:16" ht="15" customHeight="1" x14ac:dyDescent="0.35">
      <c r="B307" s="68">
        <v>302</v>
      </c>
      <c r="C307" s="69">
        <f>'Rainfall Data'!J333</f>
        <v>46324</v>
      </c>
      <c r="D307" s="70">
        <f>'Rainfall Data'!P333</f>
        <v>0</v>
      </c>
      <c r="E307" s="71">
        <f t="shared" si="48"/>
        <v>0</v>
      </c>
      <c r="F307" s="72">
        <f t="shared" si="55"/>
        <v>200</v>
      </c>
      <c r="G307" s="73">
        <f t="shared" si="49"/>
        <v>270</v>
      </c>
      <c r="H307" s="74">
        <f t="shared" si="50"/>
        <v>0</v>
      </c>
      <c r="I307" s="75">
        <f t="shared" si="51"/>
        <v>0</v>
      </c>
      <c r="J307" s="76">
        <f t="shared" si="52"/>
        <v>270</v>
      </c>
      <c r="K307" s="71">
        <f t="shared" si="53"/>
        <v>200</v>
      </c>
      <c r="L307" s="77">
        <f t="shared" si="54"/>
        <v>0</v>
      </c>
      <c r="M307" s="72">
        <f t="shared" si="56"/>
        <v>22057.023999999998</v>
      </c>
      <c r="N307" s="72">
        <f t="shared" si="57"/>
        <v>22857.023999999998</v>
      </c>
      <c r="O307" s="72">
        <f t="shared" si="58"/>
        <v>0</v>
      </c>
      <c r="P307" s="72">
        <f t="shared" si="59"/>
        <v>58682.976000000002</v>
      </c>
    </row>
    <row r="308" spans="2:16" ht="15" customHeight="1" x14ac:dyDescent="0.35">
      <c r="B308" s="52">
        <v>303</v>
      </c>
      <c r="C308" s="59">
        <f>'Rainfall Data'!J334</f>
        <v>46325</v>
      </c>
      <c r="D308" s="60">
        <f>'Rainfall Data'!P334</f>
        <v>0</v>
      </c>
      <c r="E308" s="61">
        <f t="shared" si="48"/>
        <v>0</v>
      </c>
      <c r="F308" s="62">
        <f t="shared" si="55"/>
        <v>200</v>
      </c>
      <c r="G308" s="63">
        <f t="shared" si="49"/>
        <v>270</v>
      </c>
      <c r="H308" s="64">
        <f t="shared" si="50"/>
        <v>0</v>
      </c>
      <c r="I308" s="65">
        <f t="shared" si="51"/>
        <v>0</v>
      </c>
      <c r="J308" s="66">
        <f t="shared" si="52"/>
        <v>270</v>
      </c>
      <c r="K308" s="61">
        <f t="shared" si="53"/>
        <v>200</v>
      </c>
      <c r="L308" s="67">
        <f t="shared" si="54"/>
        <v>0</v>
      </c>
      <c r="M308" s="62">
        <f t="shared" si="56"/>
        <v>22057.023999999998</v>
      </c>
      <c r="N308" s="62">
        <f t="shared" si="57"/>
        <v>22857.023999999998</v>
      </c>
      <c r="O308" s="62">
        <f t="shared" si="58"/>
        <v>0</v>
      </c>
      <c r="P308" s="62">
        <f t="shared" si="59"/>
        <v>58952.976000000002</v>
      </c>
    </row>
    <row r="309" spans="2:16" ht="15" customHeight="1" x14ac:dyDescent="0.35">
      <c r="B309" s="68">
        <v>304</v>
      </c>
      <c r="C309" s="69">
        <f>'Rainfall Data'!J335</f>
        <v>46326</v>
      </c>
      <c r="D309" s="70">
        <f>'Rainfall Data'!P335</f>
        <v>0</v>
      </c>
      <c r="E309" s="71">
        <f t="shared" si="48"/>
        <v>0</v>
      </c>
      <c r="F309" s="72">
        <f t="shared" si="55"/>
        <v>200</v>
      </c>
      <c r="G309" s="73">
        <f t="shared" si="49"/>
        <v>270</v>
      </c>
      <c r="H309" s="74">
        <f t="shared" si="50"/>
        <v>0</v>
      </c>
      <c r="I309" s="75">
        <f t="shared" si="51"/>
        <v>0</v>
      </c>
      <c r="J309" s="76">
        <f t="shared" si="52"/>
        <v>270</v>
      </c>
      <c r="K309" s="71">
        <f t="shared" si="53"/>
        <v>200</v>
      </c>
      <c r="L309" s="77">
        <f t="shared" si="54"/>
        <v>0</v>
      </c>
      <c r="M309" s="72">
        <f t="shared" si="56"/>
        <v>22057.023999999998</v>
      </c>
      <c r="N309" s="72">
        <f t="shared" si="57"/>
        <v>22857.023999999998</v>
      </c>
      <c r="O309" s="72">
        <f t="shared" si="58"/>
        <v>0</v>
      </c>
      <c r="P309" s="72">
        <f t="shared" si="59"/>
        <v>59222.976000000002</v>
      </c>
    </row>
    <row r="310" spans="2:16" ht="15" customHeight="1" x14ac:dyDescent="0.35">
      <c r="B310" s="52">
        <v>305</v>
      </c>
      <c r="C310" s="59">
        <f>'Rainfall Data'!J336</f>
        <v>46327</v>
      </c>
      <c r="D310" s="60">
        <f>'Rainfall Data'!P336</f>
        <v>0</v>
      </c>
      <c r="E310" s="61">
        <f t="shared" si="48"/>
        <v>0</v>
      </c>
      <c r="F310" s="62">
        <f t="shared" si="55"/>
        <v>200</v>
      </c>
      <c r="G310" s="63">
        <f t="shared" si="49"/>
        <v>270</v>
      </c>
      <c r="H310" s="64">
        <f t="shared" si="50"/>
        <v>0</v>
      </c>
      <c r="I310" s="65">
        <f t="shared" si="51"/>
        <v>0</v>
      </c>
      <c r="J310" s="66">
        <f t="shared" si="52"/>
        <v>270</v>
      </c>
      <c r="K310" s="61">
        <f t="shared" si="53"/>
        <v>200</v>
      </c>
      <c r="L310" s="67">
        <f t="shared" si="54"/>
        <v>0</v>
      </c>
      <c r="M310" s="62">
        <f t="shared" si="56"/>
        <v>22057.023999999998</v>
      </c>
      <c r="N310" s="62">
        <f t="shared" si="57"/>
        <v>22857.023999999998</v>
      </c>
      <c r="O310" s="62">
        <f t="shared" si="58"/>
        <v>0</v>
      </c>
      <c r="P310" s="62">
        <f t="shared" si="59"/>
        <v>59492.976000000002</v>
      </c>
    </row>
    <row r="311" spans="2:16" ht="15" customHeight="1" x14ac:dyDescent="0.35">
      <c r="B311" s="68">
        <v>306</v>
      </c>
      <c r="C311" s="69">
        <f>'Rainfall Data'!J337</f>
        <v>46328</v>
      </c>
      <c r="D311" s="70">
        <f>'Rainfall Data'!P337</f>
        <v>0</v>
      </c>
      <c r="E311" s="71">
        <f t="shared" si="48"/>
        <v>0</v>
      </c>
      <c r="F311" s="72">
        <f t="shared" si="55"/>
        <v>200</v>
      </c>
      <c r="G311" s="73">
        <f t="shared" si="49"/>
        <v>270</v>
      </c>
      <c r="H311" s="74">
        <f t="shared" si="50"/>
        <v>0</v>
      </c>
      <c r="I311" s="75">
        <f t="shared" si="51"/>
        <v>0</v>
      </c>
      <c r="J311" s="76">
        <f t="shared" si="52"/>
        <v>270</v>
      </c>
      <c r="K311" s="71">
        <f t="shared" si="53"/>
        <v>200</v>
      </c>
      <c r="L311" s="77">
        <f t="shared" si="54"/>
        <v>0</v>
      </c>
      <c r="M311" s="72">
        <f t="shared" si="56"/>
        <v>22057.023999999998</v>
      </c>
      <c r="N311" s="72">
        <f t="shared" si="57"/>
        <v>22857.023999999998</v>
      </c>
      <c r="O311" s="72">
        <f t="shared" si="58"/>
        <v>0</v>
      </c>
      <c r="P311" s="72">
        <f t="shared" si="59"/>
        <v>59762.976000000002</v>
      </c>
    </row>
    <row r="312" spans="2:16" ht="15" customHeight="1" x14ac:dyDescent="0.35">
      <c r="B312" s="52">
        <v>307</v>
      </c>
      <c r="C312" s="59">
        <f>'Rainfall Data'!J338</f>
        <v>46329</v>
      </c>
      <c r="D312" s="60">
        <f>'Rainfall Data'!P338</f>
        <v>0</v>
      </c>
      <c r="E312" s="61">
        <f t="shared" si="48"/>
        <v>0</v>
      </c>
      <c r="F312" s="62">
        <f t="shared" si="55"/>
        <v>200</v>
      </c>
      <c r="G312" s="63">
        <f t="shared" si="49"/>
        <v>270</v>
      </c>
      <c r="H312" s="64">
        <f t="shared" si="50"/>
        <v>0</v>
      </c>
      <c r="I312" s="65">
        <f t="shared" si="51"/>
        <v>0</v>
      </c>
      <c r="J312" s="66">
        <f t="shared" si="52"/>
        <v>270</v>
      </c>
      <c r="K312" s="61">
        <f t="shared" si="53"/>
        <v>200</v>
      </c>
      <c r="L312" s="67">
        <f t="shared" si="54"/>
        <v>0</v>
      </c>
      <c r="M312" s="62">
        <f t="shared" si="56"/>
        <v>22057.023999999998</v>
      </c>
      <c r="N312" s="62">
        <f t="shared" si="57"/>
        <v>22857.023999999998</v>
      </c>
      <c r="O312" s="62">
        <f t="shared" si="58"/>
        <v>0</v>
      </c>
      <c r="P312" s="62">
        <f t="shared" si="59"/>
        <v>60032.976000000002</v>
      </c>
    </row>
    <row r="313" spans="2:16" ht="15" customHeight="1" x14ac:dyDescent="0.35">
      <c r="B313" s="68">
        <v>308</v>
      </c>
      <c r="C313" s="69">
        <f>'Rainfall Data'!J339</f>
        <v>46330</v>
      </c>
      <c r="D313" s="70">
        <f>'Rainfall Data'!P339</f>
        <v>0</v>
      </c>
      <c r="E313" s="71">
        <f t="shared" si="48"/>
        <v>0</v>
      </c>
      <c r="F313" s="72">
        <f t="shared" si="55"/>
        <v>200</v>
      </c>
      <c r="G313" s="73">
        <f t="shared" si="49"/>
        <v>270</v>
      </c>
      <c r="H313" s="74">
        <f t="shared" si="50"/>
        <v>0</v>
      </c>
      <c r="I313" s="75">
        <f t="shared" si="51"/>
        <v>0</v>
      </c>
      <c r="J313" s="76">
        <f t="shared" si="52"/>
        <v>270</v>
      </c>
      <c r="K313" s="71">
        <f t="shared" si="53"/>
        <v>200</v>
      </c>
      <c r="L313" s="77">
        <f t="shared" si="54"/>
        <v>0</v>
      </c>
      <c r="M313" s="72">
        <f t="shared" si="56"/>
        <v>22057.023999999998</v>
      </c>
      <c r="N313" s="72">
        <f t="shared" si="57"/>
        <v>22857.023999999998</v>
      </c>
      <c r="O313" s="72">
        <f t="shared" si="58"/>
        <v>0</v>
      </c>
      <c r="P313" s="72">
        <f t="shared" si="59"/>
        <v>60302.976000000002</v>
      </c>
    </row>
    <row r="314" spans="2:16" ht="15" customHeight="1" x14ac:dyDescent="0.35">
      <c r="B314" s="52">
        <v>309</v>
      </c>
      <c r="C314" s="59">
        <f>'Rainfall Data'!J340</f>
        <v>46331</v>
      </c>
      <c r="D314" s="60">
        <f>'Rainfall Data'!P340</f>
        <v>0</v>
      </c>
      <c r="E314" s="61">
        <f t="shared" si="48"/>
        <v>0</v>
      </c>
      <c r="F314" s="62">
        <f t="shared" si="55"/>
        <v>200</v>
      </c>
      <c r="G314" s="63">
        <f t="shared" si="49"/>
        <v>270</v>
      </c>
      <c r="H314" s="64">
        <f t="shared" si="50"/>
        <v>0</v>
      </c>
      <c r="I314" s="65">
        <f t="shared" si="51"/>
        <v>0</v>
      </c>
      <c r="J314" s="66">
        <f t="shared" si="52"/>
        <v>270</v>
      </c>
      <c r="K314" s="61">
        <f t="shared" si="53"/>
        <v>200</v>
      </c>
      <c r="L314" s="67">
        <f t="shared" si="54"/>
        <v>0</v>
      </c>
      <c r="M314" s="62">
        <f t="shared" si="56"/>
        <v>22057.023999999998</v>
      </c>
      <c r="N314" s="62">
        <f t="shared" si="57"/>
        <v>22857.023999999998</v>
      </c>
      <c r="O314" s="62">
        <f t="shared" si="58"/>
        <v>0</v>
      </c>
      <c r="P314" s="62">
        <f t="shared" si="59"/>
        <v>60572.976000000002</v>
      </c>
    </row>
    <row r="315" spans="2:16" ht="15" customHeight="1" x14ac:dyDescent="0.35">
      <c r="B315" s="68">
        <v>310</v>
      </c>
      <c r="C315" s="69">
        <f>'Rainfall Data'!J341</f>
        <v>46332</v>
      </c>
      <c r="D315" s="70">
        <f>'Rainfall Data'!P341</f>
        <v>0</v>
      </c>
      <c r="E315" s="71">
        <f t="shared" si="48"/>
        <v>0</v>
      </c>
      <c r="F315" s="72">
        <f t="shared" si="55"/>
        <v>200</v>
      </c>
      <c r="G315" s="73">
        <f t="shared" si="49"/>
        <v>270</v>
      </c>
      <c r="H315" s="74">
        <f t="shared" si="50"/>
        <v>0</v>
      </c>
      <c r="I315" s="75">
        <f t="shared" si="51"/>
        <v>0</v>
      </c>
      <c r="J315" s="76">
        <f t="shared" si="52"/>
        <v>270</v>
      </c>
      <c r="K315" s="71">
        <f t="shared" si="53"/>
        <v>200</v>
      </c>
      <c r="L315" s="77">
        <f t="shared" si="54"/>
        <v>0</v>
      </c>
      <c r="M315" s="72">
        <f t="shared" si="56"/>
        <v>22057.023999999998</v>
      </c>
      <c r="N315" s="72">
        <f t="shared" si="57"/>
        <v>22857.023999999998</v>
      </c>
      <c r="O315" s="72">
        <f t="shared" si="58"/>
        <v>0</v>
      </c>
      <c r="P315" s="72">
        <f t="shared" si="59"/>
        <v>60842.976000000002</v>
      </c>
    </row>
    <row r="316" spans="2:16" ht="15" customHeight="1" x14ac:dyDescent="0.35">
      <c r="B316" s="52">
        <v>311</v>
      </c>
      <c r="C316" s="59">
        <f>'Rainfall Data'!J342</f>
        <v>46333</v>
      </c>
      <c r="D316" s="60">
        <f>'Rainfall Data'!P342</f>
        <v>0</v>
      </c>
      <c r="E316" s="61">
        <f t="shared" si="48"/>
        <v>0</v>
      </c>
      <c r="F316" s="62">
        <f t="shared" si="55"/>
        <v>200</v>
      </c>
      <c r="G316" s="63">
        <f t="shared" si="49"/>
        <v>270</v>
      </c>
      <c r="H316" s="64">
        <f t="shared" si="50"/>
        <v>0</v>
      </c>
      <c r="I316" s="65">
        <f t="shared" si="51"/>
        <v>0</v>
      </c>
      <c r="J316" s="66">
        <f t="shared" si="52"/>
        <v>270</v>
      </c>
      <c r="K316" s="61">
        <f t="shared" si="53"/>
        <v>200</v>
      </c>
      <c r="L316" s="67">
        <f t="shared" si="54"/>
        <v>0</v>
      </c>
      <c r="M316" s="62">
        <f t="shared" si="56"/>
        <v>22057.023999999998</v>
      </c>
      <c r="N316" s="62">
        <f t="shared" si="57"/>
        <v>22857.023999999998</v>
      </c>
      <c r="O316" s="62">
        <f t="shared" si="58"/>
        <v>0</v>
      </c>
      <c r="P316" s="62">
        <f t="shared" si="59"/>
        <v>61112.976000000002</v>
      </c>
    </row>
    <row r="317" spans="2:16" ht="15" customHeight="1" x14ac:dyDescent="0.35">
      <c r="B317" s="68">
        <v>312</v>
      </c>
      <c r="C317" s="69">
        <f>'Rainfall Data'!J343</f>
        <v>46334</v>
      </c>
      <c r="D317" s="70">
        <f>'Rainfall Data'!P343</f>
        <v>0</v>
      </c>
      <c r="E317" s="71">
        <f t="shared" si="48"/>
        <v>0</v>
      </c>
      <c r="F317" s="72">
        <f t="shared" si="55"/>
        <v>200</v>
      </c>
      <c r="G317" s="73">
        <f t="shared" si="49"/>
        <v>270</v>
      </c>
      <c r="H317" s="74">
        <f t="shared" si="50"/>
        <v>0</v>
      </c>
      <c r="I317" s="75">
        <f t="shared" si="51"/>
        <v>0</v>
      </c>
      <c r="J317" s="76">
        <f t="shared" si="52"/>
        <v>270</v>
      </c>
      <c r="K317" s="71">
        <f t="shared" si="53"/>
        <v>200</v>
      </c>
      <c r="L317" s="77">
        <f t="shared" si="54"/>
        <v>0</v>
      </c>
      <c r="M317" s="72">
        <f t="shared" si="56"/>
        <v>22057.023999999998</v>
      </c>
      <c r="N317" s="72">
        <f t="shared" si="57"/>
        <v>22857.023999999998</v>
      </c>
      <c r="O317" s="72">
        <f t="shared" si="58"/>
        <v>0</v>
      </c>
      <c r="P317" s="72">
        <f t="shared" si="59"/>
        <v>61382.976000000002</v>
      </c>
    </row>
    <row r="318" spans="2:16" ht="15" customHeight="1" x14ac:dyDescent="0.35">
      <c r="B318" s="52">
        <v>313</v>
      </c>
      <c r="C318" s="59">
        <f>'Rainfall Data'!J344</f>
        <v>46335</v>
      </c>
      <c r="D318" s="60">
        <f>'Rainfall Data'!P344</f>
        <v>0</v>
      </c>
      <c r="E318" s="61">
        <f t="shared" si="48"/>
        <v>0</v>
      </c>
      <c r="F318" s="62">
        <f t="shared" si="55"/>
        <v>200</v>
      </c>
      <c r="G318" s="63">
        <f t="shared" si="49"/>
        <v>270</v>
      </c>
      <c r="H318" s="64">
        <f t="shared" si="50"/>
        <v>0</v>
      </c>
      <c r="I318" s="65">
        <f t="shared" si="51"/>
        <v>0</v>
      </c>
      <c r="J318" s="66">
        <f t="shared" si="52"/>
        <v>270</v>
      </c>
      <c r="K318" s="61">
        <f t="shared" si="53"/>
        <v>200</v>
      </c>
      <c r="L318" s="67">
        <f t="shared" si="54"/>
        <v>0</v>
      </c>
      <c r="M318" s="62">
        <f t="shared" si="56"/>
        <v>22057.023999999998</v>
      </c>
      <c r="N318" s="62">
        <f t="shared" si="57"/>
        <v>22857.023999999998</v>
      </c>
      <c r="O318" s="62">
        <f t="shared" si="58"/>
        <v>0</v>
      </c>
      <c r="P318" s="62">
        <f t="shared" si="59"/>
        <v>61652.976000000002</v>
      </c>
    </row>
    <row r="319" spans="2:16" ht="15" customHeight="1" x14ac:dyDescent="0.35">
      <c r="B319" s="68">
        <v>314</v>
      </c>
      <c r="C319" s="69">
        <f>'Rainfall Data'!J345</f>
        <v>46336</v>
      </c>
      <c r="D319" s="70">
        <f>'Rainfall Data'!P345</f>
        <v>0</v>
      </c>
      <c r="E319" s="71">
        <f t="shared" si="48"/>
        <v>0</v>
      </c>
      <c r="F319" s="72">
        <f t="shared" si="55"/>
        <v>200</v>
      </c>
      <c r="G319" s="73">
        <f t="shared" si="49"/>
        <v>270</v>
      </c>
      <c r="H319" s="74">
        <f t="shared" si="50"/>
        <v>0</v>
      </c>
      <c r="I319" s="75">
        <f t="shared" si="51"/>
        <v>0</v>
      </c>
      <c r="J319" s="76">
        <f t="shared" si="52"/>
        <v>270</v>
      </c>
      <c r="K319" s="71">
        <f t="shared" si="53"/>
        <v>200</v>
      </c>
      <c r="L319" s="77">
        <f t="shared" si="54"/>
        <v>0</v>
      </c>
      <c r="M319" s="72">
        <f t="shared" si="56"/>
        <v>22057.023999999998</v>
      </c>
      <c r="N319" s="72">
        <f t="shared" si="57"/>
        <v>22857.023999999998</v>
      </c>
      <c r="O319" s="72">
        <f t="shared" si="58"/>
        <v>0</v>
      </c>
      <c r="P319" s="72">
        <f t="shared" si="59"/>
        <v>61922.976000000002</v>
      </c>
    </row>
    <row r="320" spans="2:16" ht="15" customHeight="1" x14ac:dyDescent="0.35">
      <c r="B320" s="52">
        <v>315</v>
      </c>
      <c r="C320" s="59">
        <f>'Rainfall Data'!J346</f>
        <v>46337</v>
      </c>
      <c r="D320" s="60">
        <f>'Rainfall Data'!P346</f>
        <v>0</v>
      </c>
      <c r="E320" s="61">
        <f t="shared" si="48"/>
        <v>0</v>
      </c>
      <c r="F320" s="62">
        <f t="shared" si="55"/>
        <v>200</v>
      </c>
      <c r="G320" s="63">
        <f t="shared" si="49"/>
        <v>270</v>
      </c>
      <c r="H320" s="64">
        <f t="shared" si="50"/>
        <v>0</v>
      </c>
      <c r="I320" s="65">
        <f t="shared" si="51"/>
        <v>0</v>
      </c>
      <c r="J320" s="66">
        <f t="shared" si="52"/>
        <v>270</v>
      </c>
      <c r="K320" s="61">
        <f t="shared" si="53"/>
        <v>200</v>
      </c>
      <c r="L320" s="67">
        <f t="shared" si="54"/>
        <v>0</v>
      </c>
      <c r="M320" s="62">
        <f t="shared" si="56"/>
        <v>22057.023999999998</v>
      </c>
      <c r="N320" s="62">
        <f t="shared" si="57"/>
        <v>22857.023999999998</v>
      </c>
      <c r="O320" s="62">
        <f t="shared" si="58"/>
        <v>0</v>
      </c>
      <c r="P320" s="62">
        <f t="shared" si="59"/>
        <v>62192.976000000002</v>
      </c>
    </row>
    <row r="321" spans="2:16" ht="15" customHeight="1" x14ac:dyDescent="0.35">
      <c r="B321" s="68">
        <v>316</v>
      </c>
      <c r="C321" s="69">
        <f>'Rainfall Data'!J347</f>
        <v>46338</v>
      </c>
      <c r="D321" s="70">
        <f>'Rainfall Data'!P347</f>
        <v>0</v>
      </c>
      <c r="E321" s="71">
        <f t="shared" si="48"/>
        <v>0</v>
      </c>
      <c r="F321" s="72">
        <f t="shared" si="55"/>
        <v>200</v>
      </c>
      <c r="G321" s="73">
        <f t="shared" si="49"/>
        <v>270</v>
      </c>
      <c r="H321" s="74">
        <f t="shared" si="50"/>
        <v>0</v>
      </c>
      <c r="I321" s="75">
        <f t="shared" si="51"/>
        <v>0</v>
      </c>
      <c r="J321" s="76">
        <f t="shared" si="52"/>
        <v>270</v>
      </c>
      <c r="K321" s="71">
        <f t="shared" si="53"/>
        <v>200</v>
      </c>
      <c r="L321" s="77">
        <f t="shared" si="54"/>
        <v>0</v>
      </c>
      <c r="M321" s="72">
        <f t="shared" si="56"/>
        <v>22057.023999999998</v>
      </c>
      <c r="N321" s="72">
        <f t="shared" si="57"/>
        <v>22857.023999999998</v>
      </c>
      <c r="O321" s="72">
        <f t="shared" si="58"/>
        <v>0</v>
      </c>
      <c r="P321" s="72">
        <f t="shared" si="59"/>
        <v>62462.976000000002</v>
      </c>
    </row>
    <row r="322" spans="2:16" ht="15" customHeight="1" x14ac:dyDescent="0.35">
      <c r="B322" s="52">
        <v>317</v>
      </c>
      <c r="C322" s="59">
        <f>'Rainfall Data'!J348</f>
        <v>46339</v>
      </c>
      <c r="D322" s="60">
        <f>'Rainfall Data'!P348</f>
        <v>0</v>
      </c>
      <c r="E322" s="61">
        <f t="shared" si="48"/>
        <v>0</v>
      </c>
      <c r="F322" s="62">
        <f t="shared" si="55"/>
        <v>200</v>
      </c>
      <c r="G322" s="63">
        <f t="shared" si="49"/>
        <v>270</v>
      </c>
      <c r="H322" s="64">
        <f t="shared" si="50"/>
        <v>0</v>
      </c>
      <c r="I322" s="65">
        <f t="shared" si="51"/>
        <v>0</v>
      </c>
      <c r="J322" s="66">
        <f t="shared" si="52"/>
        <v>270</v>
      </c>
      <c r="K322" s="61">
        <f t="shared" si="53"/>
        <v>200</v>
      </c>
      <c r="L322" s="67">
        <f t="shared" si="54"/>
        <v>0</v>
      </c>
      <c r="M322" s="62">
        <f t="shared" si="56"/>
        <v>22057.023999999998</v>
      </c>
      <c r="N322" s="62">
        <f t="shared" si="57"/>
        <v>22857.023999999998</v>
      </c>
      <c r="O322" s="62">
        <f t="shared" si="58"/>
        <v>0</v>
      </c>
      <c r="P322" s="62">
        <f t="shared" si="59"/>
        <v>62732.976000000002</v>
      </c>
    </row>
    <row r="323" spans="2:16" ht="15" customHeight="1" x14ac:dyDescent="0.35">
      <c r="B323" s="68">
        <v>318</v>
      </c>
      <c r="C323" s="69">
        <f>'Rainfall Data'!J349</f>
        <v>46340</v>
      </c>
      <c r="D323" s="70">
        <f>'Rainfall Data'!P349</f>
        <v>0</v>
      </c>
      <c r="E323" s="71">
        <f t="shared" si="48"/>
        <v>0</v>
      </c>
      <c r="F323" s="72">
        <f t="shared" si="55"/>
        <v>200</v>
      </c>
      <c r="G323" s="73">
        <f t="shared" si="49"/>
        <v>270</v>
      </c>
      <c r="H323" s="74">
        <f t="shared" si="50"/>
        <v>0</v>
      </c>
      <c r="I323" s="75">
        <f t="shared" si="51"/>
        <v>0</v>
      </c>
      <c r="J323" s="76">
        <f t="shared" si="52"/>
        <v>270</v>
      </c>
      <c r="K323" s="71">
        <f t="shared" si="53"/>
        <v>200</v>
      </c>
      <c r="L323" s="77">
        <f t="shared" si="54"/>
        <v>0</v>
      </c>
      <c r="M323" s="72">
        <f t="shared" si="56"/>
        <v>22057.023999999998</v>
      </c>
      <c r="N323" s="72">
        <f t="shared" si="57"/>
        <v>22857.023999999998</v>
      </c>
      <c r="O323" s="72">
        <f t="shared" si="58"/>
        <v>0</v>
      </c>
      <c r="P323" s="72">
        <f t="shared" si="59"/>
        <v>63002.976000000002</v>
      </c>
    </row>
    <row r="324" spans="2:16" ht="15" customHeight="1" x14ac:dyDescent="0.35">
      <c r="B324" s="52">
        <v>319</v>
      </c>
      <c r="C324" s="59">
        <f>'Rainfall Data'!J350</f>
        <v>46341</v>
      </c>
      <c r="D324" s="60">
        <f>'Rainfall Data'!P350</f>
        <v>2</v>
      </c>
      <c r="E324" s="61">
        <f t="shared" si="48"/>
        <v>172.32049999999998</v>
      </c>
      <c r="F324" s="62">
        <f t="shared" si="55"/>
        <v>200</v>
      </c>
      <c r="G324" s="63">
        <f t="shared" si="49"/>
        <v>270</v>
      </c>
      <c r="H324" s="64">
        <f t="shared" si="50"/>
        <v>172.32049999999998</v>
      </c>
      <c r="I324" s="65">
        <f t="shared" si="51"/>
        <v>0</v>
      </c>
      <c r="J324" s="66">
        <f t="shared" si="52"/>
        <v>97.679500000000019</v>
      </c>
      <c r="K324" s="61">
        <f t="shared" si="53"/>
        <v>200</v>
      </c>
      <c r="L324" s="67">
        <f t="shared" si="54"/>
        <v>0.78327499999999994</v>
      </c>
      <c r="M324" s="62">
        <f t="shared" si="56"/>
        <v>22229.344499999999</v>
      </c>
      <c r="N324" s="62">
        <f t="shared" si="57"/>
        <v>23029.344499999999</v>
      </c>
      <c r="O324" s="62">
        <f t="shared" si="58"/>
        <v>0</v>
      </c>
      <c r="P324" s="62">
        <f t="shared" si="59"/>
        <v>63100.655500000001</v>
      </c>
    </row>
    <row r="325" spans="2:16" ht="15" customHeight="1" x14ac:dyDescent="0.35">
      <c r="B325" s="68">
        <v>320</v>
      </c>
      <c r="C325" s="69">
        <f>'Rainfall Data'!J351</f>
        <v>46342</v>
      </c>
      <c r="D325" s="70">
        <f>'Rainfall Data'!P351</f>
        <v>0</v>
      </c>
      <c r="E325" s="71">
        <f t="shared" si="48"/>
        <v>0</v>
      </c>
      <c r="F325" s="72">
        <f t="shared" si="55"/>
        <v>200</v>
      </c>
      <c r="G325" s="73">
        <f t="shared" si="49"/>
        <v>270</v>
      </c>
      <c r="H325" s="74">
        <f t="shared" si="50"/>
        <v>0</v>
      </c>
      <c r="I325" s="75">
        <f t="shared" si="51"/>
        <v>0</v>
      </c>
      <c r="J325" s="76">
        <f t="shared" si="52"/>
        <v>270</v>
      </c>
      <c r="K325" s="71">
        <f t="shared" si="53"/>
        <v>200</v>
      </c>
      <c r="L325" s="77">
        <f t="shared" si="54"/>
        <v>0</v>
      </c>
      <c r="M325" s="72">
        <f t="shared" si="56"/>
        <v>22229.344499999999</v>
      </c>
      <c r="N325" s="72">
        <f t="shared" si="57"/>
        <v>23029.344499999999</v>
      </c>
      <c r="O325" s="72">
        <f t="shared" si="58"/>
        <v>0</v>
      </c>
      <c r="P325" s="72">
        <f t="shared" si="59"/>
        <v>63370.655500000001</v>
      </c>
    </row>
    <row r="326" spans="2:16" ht="15" customHeight="1" x14ac:dyDescent="0.35">
      <c r="B326" s="52">
        <v>321</v>
      </c>
      <c r="C326" s="59">
        <f>'Rainfall Data'!J352</f>
        <v>46343</v>
      </c>
      <c r="D326" s="60">
        <f>'Rainfall Data'!P352</f>
        <v>0</v>
      </c>
      <c r="E326" s="61">
        <f t="shared" ref="E326:E389" si="60">MAX(D326-FirstFlush_mm,0)*RoofArea_m2*CollectionEff</f>
        <v>0</v>
      </c>
      <c r="F326" s="62">
        <f t="shared" si="55"/>
        <v>200</v>
      </c>
      <c r="G326" s="63">
        <f t="shared" ref="G326:G370" si="61">DailyDemand_L</f>
        <v>270</v>
      </c>
      <c r="H326" s="64">
        <f t="shared" ref="H326:H389" si="62">MIN(G326,MAX(F326+E326-DeadStorage_L,0))</f>
        <v>0</v>
      </c>
      <c r="I326" s="65">
        <f t="shared" ref="I326:I389" si="63">MAX(F326+E326-H326-TankCapacity_L,0)</f>
        <v>0</v>
      </c>
      <c r="J326" s="66">
        <f t="shared" ref="J326:J370" si="64">G326-H326</f>
        <v>270</v>
      </c>
      <c r="K326" s="61">
        <f t="shared" ref="K326:K370" si="65">MIN(F326+E326-H326-I326,TankCapacity_L)</f>
        <v>200</v>
      </c>
      <c r="L326" s="67">
        <f t="shared" ref="L326:L370" si="66">IF(D326&gt;0,CollectionEff,0)</f>
        <v>0</v>
      </c>
      <c r="M326" s="62">
        <f t="shared" si="56"/>
        <v>22229.344499999999</v>
      </c>
      <c r="N326" s="62">
        <f t="shared" si="57"/>
        <v>23029.344499999999</v>
      </c>
      <c r="O326" s="62">
        <f t="shared" si="58"/>
        <v>0</v>
      </c>
      <c r="P326" s="62">
        <f t="shared" si="59"/>
        <v>63640.655500000001</v>
      </c>
    </row>
    <row r="327" spans="2:16" ht="15" customHeight="1" x14ac:dyDescent="0.35">
      <c r="B327" s="68">
        <v>322</v>
      </c>
      <c r="C327" s="69">
        <f>'Rainfall Data'!J353</f>
        <v>46344</v>
      </c>
      <c r="D327" s="70">
        <f>'Rainfall Data'!P353</f>
        <v>0</v>
      </c>
      <c r="E327" s="71">
        <f t="shared" si="60"/>
        <v>0</v>
      </c>
      <c r="F327" s="72">
        <f t="shared" ref="F327:F370" si="67">K326</f>
        <v>200</v>
      </c>
      <c r="G327" s="73">
        <f t="shared" si="61"/>
        <v>270</v>
      </c>
      <c r="H327" s="74">
        <f t="shared" si="62"/>
        <v>0</v>
      </c>
      <c r="I327" s="75">
        <f t="shared" si="63"/>
        <v>0</v>
      </c>
      <c r="J327" s="76">
        <f t="shared" si="64"/>
        <v>270</v>
      </c>
      <c r="K327" s="71">
        <f t="shared" si="65"/>
        <v>200</v>
      </c>
      <c r="L327" s="77">
        <f t="shared" si="66"/>
        <v>0</v>
      </c>
      <c r="M327" s="72">
        <f t="shared" ref="M327:M370" si="68">M326+E327</f>
        <v>22229.344499999999</v>
      </c>
      <c r="N327" s="72">
        <f t="shared" ref="N327:N370" si="69">N326+H327</f>
        <v>23029.344499999999</v>
      </c>
      <c r="O327" s="72">
        <f t="shared" ref="O327:O370" si="70">O326+I327</f>
        <v>0</v>
      </c>
      <c r="P327" s="72">
        <f t="shared" ref="P327:P370" si="71">P326+J327</f>
        <v>63910.655500000001</v>
      </c>
    </row>
    <row r="328" spans="2:16" ht="15" customHeight="1" x14ac:dyDescent="0.35">
      <c r="B328" s="52">
        <v>323</v>
      </c>
      <c r="C328" s="59">
        <f>'Rainfall Data'!J354</f>
        <v>46345</v>
      </c>
      <c r="D328" s="60">
        <f>'Rainfall Data'!P354</f>
        <v>0</v>
      </c>
      <c r="E328" s="61">
        <f t="shared" si="60"/>
        <v>0</v>
      </c>
      <c r="F328" s="62">
        <f t="shared" si="67"/>
        <v>200</v>
      </c>
      <c r="G328" s="63">
        <f t="shared" si="61"/>
        <v>270</v>
      </c>
      <c r="H328" s="64">
        <f t="shared" si="62"/>
        <v>0</v>
      </c>
      <c r="I328" s="65">
        <f t="shared" si="63"/>
        <v>0</v>
      </c>
      <c r="J328" s="66">
        <f t="shared" si="64"/>
        <v>270</v>
      </c>
      <c r="K328" s="61">
        <f t="shared" si="65"/>
        <v>200</v>
      </c>
      <c r="L328" s="67">
        <f t="shared" si="66"/>
        <v>0</v>
      </c>
      <c r="M328" s="62">
        <f t="shared" si="68"/>
        <v>22229.344499999999</v>
      </c>
      <c r="N328" s="62">
        <f t="shared" si="69"/>
        <v>23029.344499999999</v>
      </c>
      <c r="O328" s="62">
        <f t="shared" si="70"/>
        <v>0</v>
      </c>
      <c r="P328" s="62">
        <f t="shared" si="71"/>
        <v>64180.655500000001</v>
      </c>
    </row>
    <row r="329" spans="2:16" ht="15" customHeight="1" x14ac:dyDescent="0.35">
      <c r="B329" s="68">
        <v>324</v>
      </c>
      <c r="C329" s="69">
        <f>'Rainfall Data'!J355</f>
        <v>46346</v>
      </c>
      <c r="D329" s="70">
        <f>'Rainfall Data'!P355</f>
        <v>0</v>
      </c>
      <c r="E329" s="71">
        <f t="shared" si="60"/>
        <v>0</v>
      </c>
      <c r="F329" s="72">
        <f t="shared" si="67"/>
        <v>200</v>
      </c>
      <c r="G329" s="73">
        <f t="shared" si="61"/>
        <v>270</v>
      </c>
      <c r="H329" s="74">
        <f t="shared" si="62"/>
        <v>0</v>
      </c>
      <c r="I329" s="75">
        <f t="shared" si="63"/>
        <v>0</v>
      </c>
      <c r="J329" s="76">
        <f t="shared" si="64"/>
        <v>270</v>
      </c>
      <c r="K329" s="71">
        <f t="shared" si="65"/>
        <v>200</v>
      </c>
      <c r="L329" s="77">
        <f t="shared" si="66"/>
        <v>0</v>
      </c>
      <c r="M329" s="72">
        <f t="shared" si="68"/>
        <v>22229.344499999999</v>
      </c>
      <c r="N329" s="72">
        <f t="shared" si="69"/>
        <v>23029.344499999999</v>
      </c>
      <c r="O329" s="72">
        <f t="shared" si="70"/>
        <v>0</v>
      </c>
      <c r="P329" s="72">
        <f t="shared" si="71"/>
        <v>64450.655500000001</v>
      </c>
    </row>
    <row r="330" spans="2:16" ht="15" customHeight="1" x14ac:dyDescent="0.35">
      <c r="B330" s="52">
        <v>325</v>
      </c>
      <c r="C330" s="59">
        <f>'Rainfall Data'!J356</f>
        <v>46347</v>
      </c>
      <c r="D330" s="60">
        <f>'Rainfall Data'!P356</f>
        <v>0</v>
      </c>
      <c r="E330" s="61">
        <f t="shared" si="60"/>
        <v>0</v>
      </c>
      <c r="F330" s="62">
        <f t="shared" si="67"/>
        <v>200</v>
      </c>
      <c r="G330" s="63">
        <f t="shared" si="61"/>
        <v>270</v>
      </c>
      <c r="H330" s="64">
        <f t="shared" si="62"/>
        <v>0</v>
      </c>
      <c r="I330" s="65">
        <f t="shared" si="63"/>
        <v>0</v>
      </c>
      <c r="J330" s="66">
        <f t="shared" si="64"/>
        <v>270</v>
      </c>
      <c r="K330" s="61">
        <f t="shared" si="65"/>
        <v>200</v>
      </c>
      <c r="L330" s="67">
        <f t="shared" si="66"/>
        <v>0</v>
      </c>
      <c r="M330" s="62">
        <f t="shared" si="68"/>
        <v>22229.344499999999</v>
      </c>
      <c r="N330" s="62">
        <f t="shared" si="69"/>
        <v>23029.344499999999</v>
      </c>
      <c r="O330" s="62">
        <f t="shared" si="70"/>
        <v>0</v>
      </c>
      <c r="P330" s="62">
        <f t="shared" si="71"/>
        <v>64720.655500000001</v>
      </c>
    </row>
    <row r="331" spans="2:16" ht="15" customHeight="1" x14ac:dyDescent="0.35">
      <c r="B331" s="68">
        <v>326</v>
      </c>
      <c r="C331" s="69">
        <f>'Rainfall Data'!J357</f>
        <v>46348</v>
      </c>
      <c r="D331" s="70">
        <f>'Rainfall Data'!P357</f>
        <v>0</v>
      </c>
      <c r="E331" s="71">
        <f t="shared" si="60"/>
        <v>0</v>
      </c>
      <c r="F331" s="72">
        <f t="shared" si="67"/>
        <v>200</v>
      </c>
      <c r="G331" s="73">
        <f t="shared" si="61"/>
        <v>270</v>
      </c>
      <c r="H331" s="74">
        <f t="shared" si="62"/>
        <v>0</v>
      </c>
      <c r="I331" s="75">
        <f t="shared" si="63"/>
        <v>0</v>
      </c>
      <c r="J331" s="76">
        <f t="shared" si="64"/>
        <v>270</v>
      </c>
      <c r="K331" s="71">
        <f t="shared" si="65"/>
        <v>200</v>
      </c>
      <c r="L331" s="77">
        <f t="shared" si="66"/>
        <v>0</v>
      </c>
      <c r="M331" s="72">
        <f t="shared" si="68"/>
        <v>22229.344499999999</v>
      </c>
      <c r="N331" s="72">
        <f t="shared" si="69"/>
        <v>23029.344499999999</v>
      </c>
      <c r="O331" s="72">
        <f t="shared" si="70"/>
        <v>0</v>
      </c>
      <c r="P331" s="72">
        <f t="shared" si="71"/>
        <v>64990.655500000001</v>
      </c>
    </row>
    <row r="332" spans="2:16" ht="15" customHeight="1" x14ac:dyDescent="0.35">
      <c r="B332" s="52">
        <v>327</v>
      </c>
      <c r="C332" s="59">
        <f>'Rainfall Data'!J358</f>
        <v>46349</v>
      </c>
      <c r="D332" s="60">
        <f>'Rainfall Data'!P358</f>
        <v>0</v>
      </c>
      <c r="E332" s="61">
        <f t="shared" si="60"/>
        <v>0</v>
      </c>
      <c r="F332" s="62">
        <f t="shared" si="67"/>
        <v>200</v>
      </c>
      <c r="G332" s="63">
        <f t="shared" si="61"/>
        <v>270</v>
      </c>
      <c r="H332" s="64">
        <f t="shared" si="62"/>
        <v>0</v>
      </c>
      <c r="I332" s="65">
        <f t="shared" si="63"/>
        <v>0</v>
      </c>
      <c r="J332" s="66">
        <f t="shared" si="64"/>
        <v>270</v>
      </c>
      <c r="K332" s="61">
        <f t="shared" si="65"/>
        <v>200</v>
      </c>
      <c r="L332" s="67">
        <f t="shared" si="66"/>
        <v>0</v>
      </c>
      <c r="M332" s="62">
        <f t="shared" si="68"/>
        <v>22229.344499999999</v>
      </c>
      <c r="N332" s="62">
        <f t="shared" si="69"/>
        <v>23029.344499999999</v>
      </c>
      <c r="O332" s="62">
        <f t="shared" si="70"/>
        <v>0</v>
      </c>
      <c r="P332" s="62">
        <f t="shared" si="71"/>
        <v>65260.655500000001</v>
      </c>
    </row>
    <row r="333" spans="2:16" ht="15" customHeight="1" x14ac:dyDescent="0.35">
      <c r="B333" s="68">
        <v>328</v>
      </c>
      <c r="C333" s="69">
        <f>'Rainfall Data'!J359</f>
        <v>46350</v>
      </c>
      <c r="D333" s="70">
        <f>'Rainfall Data'!P359</f>
        <v>0</v>
      </c>
      <c r="E333" s="71">
        <f t="shared" si="60"/>
        <v>0</v>
      </c>
      <c r="F333" s="72">
        <f t="shared" si="67"/>
        <v>200</v>
      </c>
      <c r="G333" s="73">
        <f t="shared" si="61"/>
        <v>270</v>
      </c>
      <c r="H333" s="74">
        <f t="shared" si="62"/>
        <v>0</v>
      </c>
      <c r="I333" s="75">
        <f t="shared" si="63"/>
        <v>0</v>
      </c>
      <c r="J333" s="76">
        <f t="shared" si="64"/>
        <v>270</v>
      </c>
      <c r="K333" s="71">
        <f t="shared" si="65"/>
        <v>200</v>
      </c>
      <c r="L333" s="77">
        <f t="shared" si="66"/>
        <v>0</v>
      </c>
      <c r="M333" s="72">
        <f t="shared" si="68"/>
        <v>22229.344499999999</v>
      </c>
      <c r="N333" s="72">
        <f t="shared" si="69"/>
        <v>23029.344499999999</v>
      </c>
      <c r="O333" s="72">
        <f t="shared" si="70"/>
        <v>0</v>
      </c>
      <c r="P333" s="72">
        <f t="shared" si="71"/>
        <v>65530.655500000001</v>
      </c>
    </row>
    <row r="334" spans="2:16" ht="15" customHeight="1" x14ac:dyDescent="0.35">
      <c r="B334" s="52">
        <v>329</v>
      </c>
      <c r="C334" s="59">
        <f>'Rainfall Data'!J360</f>
        <v>46351</v>
      </c>
      <c r="D334" s="60">
        <f>'Rainfall Data'!P360</f>
        <v>0</v>
      </c>
      <c r="E334" s="61">
        <f t="shared" si="60"/>
        <v>0</v>
      </c>
      <c r="F334" s="62">
        <f t="shared" si="67"/>
        <v>200</v>
      </c>
      <c r="G334" s="63">
        <f t="shared" si="61"/>
        <v>270</v>
      </c>
      <c r="H334" s="64">
        <f t="shared" si="62"/>
        <v>0</v>
      </c>
      <c r="I334" s="65">
        <f t="shared" si="63"/>
        <v>0</v>
      </c>
      <c r="J334" s="66">
        <f t="shared" si="64"/>
        <v>270</v>
      </c>
      <c r="K334" s="61">
        <f t="shared" si="65"/>
        <v>200</v>
      </c>
      <c r="L334" s="67">
        <f t="shared" si="66"/>
        <v>0</v>
      </c>
      <c r="M334" s="62">
        <f t="shared" si="68"/>
        <v>22229.344499999999</v>
      </c>
      <c r="N334" s="62">
        <f t="shared" si="69"/>
        <v>23029.344499999999</v>
      </c>
      <c r="O334" s="62">
        <f t="shared" si="70"/>
        <v>0</v>
      </c>
      <c r="P334" s="62">
        <f t="shared" si="71"/>
        <v>65800.655499999993</v>
      </c>
    </row>
    <row r="335" spans="2:16" ht="15" customHeight="1" x14ac:dyDescent="0.35">
      <c r="B335" s="68">
        <v>330</v>
      </c>
      <c r="C335" s="69">
        <f>'Rainfall Data'!J361</f>
        <v>46352</v>
      </c>
      <c r="D335" s="70">
        <f>'Rainfall Data'!P361</f>
        <v>0</v>
      </c>
      <c r="E335" s="71">
        <f t="shared" si="60"/>
        <v>0</v>
      </c>
      <c r="F335" s="72">
        <f t="shared" si="67"/>
        <v>200</v>
      </c>
      <c r="G335" s="73">
        <f t="shared" si="61"/>
        <v>270</v>
      </c>
      <c r="H335" s="74">
        <f t="shared" si="62"/>
        <v>0</v>
      </c>
      <c r="I335" s="75">
        <f t="shared" si="63"/>
        <v>0</v>
      </c>
      <c r="J335" s="76">
        <f t="shared" si="64"/>
        <v>270</v>
      </c>
      <c r="K335" s="71">
        <f t="shared" si="65"/>
        <v>200</v>
      </c>
      <c r="L335" s="77">
        <f t="shared" si="66"/>
        <v>0</v>
      </c>
      <c r="M335" s="72">
        <f t="shared" si="68"/>
        <v>22229.344499999999</v>
      </c>
      <c r="N335" s="72">
        <f t="shared" si="69"/>
        <v>23029.344499999999</v>
      </c>
      <c r="O335" s="72">
        <f t="shared" si="70"/>
        <v>0</v>
      </c>
      <c r="P335" s="72">
        <f t="shared" si="71"/>
        <v>66070.655499999993</v>
      </c>
    </row>
    <row r="336" spans="2:16" ht="15" customHeight="1" x14ac:dyDescent="0.35">
      <c r="B336" s="52">
        <v>331</v>
      </c>
      <c r="C336" s="59">
        <f>'Rainfall Data'!J362</f>
        <v>46353</v>
      </c>
      <c r="D336" s="60">
        <f>'Rainfall Data'!P362</f>
        <v>0</v>
      </c>
      <c r="E336" s="61">
        <f t="shared" si="60"/>
        <v>0</v>
      </c>
      <c r="F336" s="62">
        <f t="shared" si="67"/>
        <v>200</v>
      </c>
      <c r="G336" s="63">
        <f t="shared" si="61"/>
        <v>270</v>
      </c>
      <c r="H336" s="64">
        <f t="shared" si="62"/>
        <v>0</v>
      </c>
      <c r="I336" s="65">
        <f t="shared" si="63"/>
        <v>0</v>
      </c>
      <c r="J336" s="66">
        <f t="shared" si="64"/>
        <v>270</v>
      </c>
      <c r="K336" s="61">
        <f t="shared" si="65"/>
        <v>200</v>
      </c>
      <c r="L336" s="67">
        <f t="shared" si="66"/>
        <v>0</v>
      </c>
      <c r="M336" s="62">
        <f t="shared" si="68"/>
        <v>22229.344499999999</v>
      </c>
      <c r="N336" s="62">
        <f t="shared" si="69"/>
        <v>23029.344499999999</v>
      </c>
      <c r="O336" s="62">
        <f t="shared" si="70"/>
        <v>0</v>
      </c>
      <c r="P336" s="62">
        <f t="shared" si="71"/>
        <v>66340.655499999993</v>
      </c>
    </row>
    <row r="337" spans="2:16" ht="15" customHeight="1" x14ac:dyDescent="0.35">
      <c r="B337" s="68">
        <v>332</v>
      </c>
      <c r="C337" s="69">
        <f>'Rainfall Data'!J363</f>
        <v>46354</v>
      </c>
      <c r="D337" s="70">
        <f>'Rainfall Data'!P363</f>
        <v>0</v>
      </c>
      <c r="E337" s="71">
        <f t="shared" si="60"/>
        <v>0</v>
      </c>
      <c r="F337" s="72">
        <f t="shared" si="67"/>
        <v>200</v>
      </c>
      <c r="G337" s="73">
        <f t="shared" si="61"/>
        <v>270</v>
      </c>
      <c r="H337" s="74">
        <f t="shared" si="62"/>
        <v>0</v>
      </c>
      <c r="I337" s="75">
        <f t="shared" si="63"/>
        <v>0</v>
      </c>
      <c r="J337" s="76">
        <f t="shared" si="64"/>
        <v>270</v>
      </c>
      <c r="K337" s="71">
        <f t="shared" si="65"/>
        <v>200</v>
      </c>
      <c r="L337" s="77">
        <f t="shared" si="66"/>
        <v>0</v>
      </c>
      <c r="M337" s="72">
        <f t="shared" si="68"/>
        <v>22229.344499999999</v>
      </c>
      <c r="N337" s="72">
        <f t="shared" si="69"/>
        <v>23029.344499999999</v>
      </c>
      <c r="O337" s="72">
        <f t="shared" si="70"/>
        <v>0</v>
      </c>
      <c r="P337" s="72">
        <f t="shared" si="71"/>
        <v>66610.655499999993</v>
      </c>
    </row>
    <row r="338" spans="2:16" ht="15" customHeight="1" x14ac:dyDescent="0.35">
      <c r="B338" s="52">
        <v>333</v>
      </c>
      <c r="C338" s="59">
        <f>'Rainfall Data'!J364</f>
        <v>46355</v>
      </c>
      <c r="D338" s="60">
        <f>'Rainfall Data'!P364</f>
        <v>0</v>
      </c>
      <c r="E338" s="61">
        <f t="shared" si="60"/>
        <v>0</v>
      </c>
      <c r="F338" s="62">
        <f t="shared" si="67"/>
        <v>200</v>
      </c>
      <c r="G338" s="63">
        <f t="shared" si="61"/>
        <v>270</v>
      </c>
      <c r="H338" s="64">
        <f t="shared" si="62"/>
        <v>0</v>
      </c>
      <c r="I338" s="65">
        <f t="shared" si="63"/>
        <v>0</v>
      </c>
      <c r="J338" s="66">
        <f t="shared" si="64"/>
        <v>270</v>
      </c>
      <c r="K338" s="61">
        <f t="shared" si="65"/>
        <v>200</v>
      </c>
      <c r="L338" s="67">
        <f t="shared" si="66"/>
        <v>0</v>
      </c>
      <c r="M338" s="62">
        <f t="shared" si="68"/>
        <v>22229.344499999999</v>
      </c>
      <c r="N338" s="62">
        <f t="shared" si="69"/>
        <v>23029.344499999999</v>
      </c>
      <c r="O338" s="62">
        <f t="shared" si="70"/>
        <v>0</v>
      </c>
      <c r="P338" s="62">
        <f t="shared" si="71"/>
        <v>66880.655499999993</v>
      </c>
    </row>
    <row r="339" spans="2:16" ht="15" customHeight="1" x14ac:dyDescent="0.35">
      <c r="B339" s="68">
        <v>334</v>
      </c>
      <c r="C339" s="69">
        <f>'Rainfall Data'!J365</f>
        <v>46356</v>
      </c>
      <c r="D339" s="70">
        <f>'Rainfall Data'!P365</f>
        <v>0</v>
      </c>
      <c r="E339" s="71">
        <f t="shared" si="60"/>
        <v>0</v>
      </c>
      <c r="F339" s="72">
        <f t="shared" si="67"/>
        <v>200</v>
      </c>
      <c r="G339" s="73">
        <f t="shared" si="61"/>
        <v>270</v>
      </c>
      <c r="H339" s="74">
        <f t="shared" si="62"/>
        <v>0</v>
      </c>
      <c r="I339" s="75">
        <f t="shared" si="63"/>
        <v>0</v>
      </c>
      <c r="J339" s="76">
        <f t="shared" si="64"/>
        <v>270</v>
      </c>
      <c r="K339" s="71">
        <f t="shared" si="65"/>
        <v>200</v>
      </c>
      <c r="L339" s="77">
        <f t="shared" si="66"/>
        <v>0</v>
      </c>
      <c r="M339" s="72">
        <f t="shared" si="68"/>
        <v>22229.344499999999</v>
      </c>
      <c r="N339" s="72">
        <f t="shared" si="69"/>
        <v>23029.344499999999</v>
      </c>
      <c r="O339" s="72">
        <f t="shared" si="70"/>
        <v>0</v>
      </c>
      <c r="P339" s="72">
        <f t="shared" si="71"/>
        <v>67150.655499999993</v>
      </c>
    </row>
    <row r="340" spans="2:16" ht="15" customHeight="1" x14ac:dyDescent="0.35">
      <c r="B340" s="52">
        <v>335</v>
      </c>
      <c r="C340" s="59">
        <f>'Rainfall Data'!J366</f>
        <v>46357</v>
      </c>
      <c r="D340" s="60">
        <f>'Rainfall Data'!P366</f>
        <v>0</v>
      </c>
      <c r="E340" s="61">
        <f t="shared" si="60"/>
        <v>0</v>
      </c>
      <c r="F340" s="62">
        <f t="shared" si="67"/>
        <v>200</v>
      </c>
      <c r="G340" s="63">
        <f t="shared" si="61"/>
        <v>270</v>
      </c>
      <c r="H340" s="64">
        <f t="shared" si="62"/>
        <v>0</v>
      </c>
      <c r="I340" s="65">
        <f t="shared" si="63"/>
        <v>0</v>
      </c>
      <c r="J340" s="66">
        <f t="shared" si="64"/>
        <v>270</v>
      </c>
      <c r="K340" s="61">
        <f t="shared" si="65"/>
        <v>200</v>
      </c>
      <c r="L340" s="67">
        <f t="shared" si="66"/>
        <v>0</v>
      </c>
      <c r="M340" s="62">
        <f t="shared" si="68"/>
        <v>22229.344499999999</v>
      </c>
      <c r="N340" s="62">
        <f t="shared" si="69"/>
        <v>23029.344499999999</v>
      </c>
      <c r="O340" s="62">
        <f t="shared" si="70"/>
        <v>0</v>
      </c>
      <c r="P340" s="62">
        <f t="shared" si="71"/>
        <v>67420.655499999993</v>
      </c>
    </row>
    <row r="341" spans="2:16" ht="15" customHeight="1" x14ac:dyDescent="0.35">
      <c r="B341" s="68">
        <v>336</v>
      </c>
      <c r="C341" s="69">
        <f>'Rainfall Data'!J367</f>
        <v>46358</v>
      </c>
      <c r="D341" s="70">
        <f>'Rainfall Data'!P367</f>
        <v>0</v>
      </c>
      <c r="E341" s="71">
        <f t="shared" si="60"/>
        <v>0</v>
      </c>
      <c r="F341" s="72">
        <f t="shared" si="67"/>
        <v>200</v>
      </c>
      <c r="G341" s="73">
        <f t="shared" si="61"/>
        <v>270</v>
      </c>
      <c r="H341" s="74">
        <f t="shared" si="62"/>
        <v>0</v>
      </c>
      <c r="I341" s="75">
        <f t="shared" si="63"/>
        <v>0</v>
      </c>
      <c r="J341" s="76">
        <f t="shared" si="64"/>
        <v>270</v>
      </c>
      <c r="K341" s="71">
        <f t="shared" si="65"/>
        <v>200</v>
      </c>
      <c r="L341" s="77">
        <f t="shared" si="66"/>
        <v>0</v>
      </c>
      <c r="M341" s="72">
        <f t="shared" si="68"/>
        <v>22229.344499999999</v>
      </c>
      <c r="N341" s="72">
        <f t="shared" si="69"/>
        <v>23029.344499999999</v>
      </c>
      <c r="O341" s="72">
        <f t="shared" si="70"/>
        <v>0</v>
      </c>
      <c r="P341" s="72">
        <f t="shared" si="71"/>
        <v>67690.655499999993</v>
      </c>
    </row>
    <row r="342" spans="2:16" ht="15" customHeight="1" x14ac:dyDescent="0.35">
      <c r="B342" s="52">
        <v>337</v>
      </c>
      <c r="C342" s="59">
        <f>'Rainfall Data'!J368</f>
        <v>46359</v>
      </c>
      <c r="D342" s="60">
        <f>'Rainfall Data'!P368</f>
        <v>0</v>
      </c>
      <c r="E342" s="61">
        <f t="shared" si="60"/>
        <v>0</v>
      </c>
      <c r="F342" s="62">
        <f t="shared" si="67"/>
        <v>200</v>
      </c>
      <c r="G342" s="63">
        <f t="shared" si="61"/>
        <v>270</v>
      </c>
      <c r="H342" s="64">
        <f t="shared" si="62"/>
        <v>0</v>
      </c>
      <c r="I342" s="65">
        <f t="shared" si="63"/>
        <v>0</v>
      </c>
      <c r="J342" s="66">
        <f t="shared" si="64"/>
        <v>270</v>
      </c>
      <c r="K342" s="61">
        <f t="shared" si="65"/>
        <v>200</v>
      </c>
      <c r="L342" s="67">
        <f t="shared" si="66"/>
        <v>0</v>
      </c>
      <c r="M342" s="62">
        <f t="shared" si="68"/>
        <v>22229.344499999999</v>
      </c>
      <c r="N342" s="62">
        <f t="shared" si="69"/>
        <v>23029.344499999999</v>
      </c>
      <c r="O342" s="62">
        <f t="shared" si="70"/>
        <v>0</v>
      </c>
      <c r="P342" s="62">
        <f t="shared" si="71"/>
        <v>67960.655499999993</v>
      </c>
    </row>
    <row r="343" spans="2:16" ht="15" customHeight="1" x14ac:dyDescent="0.35">
      <c r="B343" s="68">
        <v>338</v>
      </c>
      <c r="C343" s="69">
        <f>'Rainfall Data'!J369</f>
        <v>46360</v>
      </c>
      <c r="D343" s="70">
        <f>'Rainfall Data'!P369</f>
        <v>0</v>
      </c>
      <c r="E343" s="71">
        <f t="shared" si="60"/>
        <v>0</v>
      </c>
      <c r="F343" s="72">
        <f t="shared" si="67"/>
        <v>200</v>
      </c>
      <c r="G343" s="73">
        <f t="shared" si="61"/>
        <v>270</v>
      </c>
      <c r="H343" s="74">
        <f t="shared" si="62"/>
        <v>0</v>
      </c>
      <c r="I343" s="75">
        <f t="shared" si="63"/>
        <v>0</v>
      </c>
      <c r="J343" s="76">
        <f t="shared" si="64"/>
        <v>270</v>
      </c>
      <c r="K343" s="71">
        <f t="shared" si="65"/>
        <v>200</v>
      </c>
      <c r="L343" s="77">
        <f t="shared" si="66"/>
        <v>0</v>
      </c>
      <c r="M343" s="72">
        <f t="shared" si="68"/>
        <v>22229.344499999999</v>
      </c>
      <c r="N343" s="72">
        <f t="shared" si="69"/>
        <v>23029.344499999999</v>
      </c>
      <c r="O343" s="72">
        <f t="shared" si="70"/>
        <v>0</v>
      </c>
      <c r="P343" s="72">
        <f t="shared" si="71"/>
        <v>68230.655499999993</v>
      </c>
    </row>
    <row r="344" spans="2:16" ht="15" customHeight="1" x14ac:dyDescent="0.35">
      <c r="B344" s="52">
        <v>339</v>
      </c>
      <c r="C344" s="59">
        <f>'Rainfall Data'!J370</f>
        <v>46361</v>
      </c>
      <c r="D344" s="60">
        <f>'Rainfall Data'!P370</f>
        <v>0</v>
      </c>
      <c r="E344" s="61">
        <f t="shared" si="60"/>
        <v>0</v>
      </c>
      <c r="F344" s="62">
        <f t="shared" si="67"/>
        <v>200</v>
      </c>
      <c r="G344" s="63">
        <f t="shared" si="61"/>
        <v>270</v>
      </c>
      <c r="H344" s="64">
        <f t="shared" si="62"/>
        <v>0</v>
      </c>
      <c r="I344" s="65">
        <f t="shared" si="63"/>
        <v>0</v>
      </c>
      <c r="J344" s="66">
        <f t="shared" si="64"/>
        <v>270</v>
      </c>
      <c r="K344" s="61">
        <f t="shared" si="65"/>
        <v>200</v>
      </c>
      <c r="L344" s="67">
        <f t="shared" si="66"/>
        <v>0</v>
      </c>
      <c r="M344" s="62">
        <f t="shared" si="68"/>
        <v>22229.344499999999</v>
      </c>
      <c r="N344" s="62">
        <f t="shared" si="69"/>
        <v>23029.344499999999</v>
      </c>
      <c r="O344" s="62">
        <f t="shared" si="70"/>
        <v>0</v>
      </c>
      <c r="P344" s="62">
        <f t="shared" si="71"/>
        <v>68500.655499999993</v>
      </c>
    </row>
    <row r="345" spans="2:16" ht="15" customHeight="1" x14ac:dyDescent="0.35">
      <c r="B345" s="68">
        <v>340</v>
      </c>
      <c r="C345" s="69">
        <f>'Rainfall Data'!J371</f>
        <v>46362</v>
      </c>
      <c r="D345" s="70">
        <f>'Rainfall Data'!P371</f>
        <v>0</v>
      </c>
      <c r="E345" s="71">
        <f t="shared" si="60"/>
        <v>0</v>
      </c>
      <c r="F345" s="72">
        <f t="shared" si="67"/>
        <v>200</v>
      </c>
      <c r="G345" s="73">
        <f t="shared" si="61"/>
        <v>270</v>
      </c>
      <c r="H345" s="74">
        <f t="shared" si="62"/>
        <v>0</v>
      </c>
      <c r="I345" s="75">
        <f t="shared" si="63"/>
        <v>0</v>
      </c>
      <c r="J345" s="76">
        <f t="shared" si="64"/>
        <v>270</v>
      </c>
      <c r="K345" s="71">
        <f t="shared" si="65"/>
        <v>200</v>
      </c>
      <c r="L345" s="77">
        <f t="shared" si="66"/>
        <v>0</v>
      </c>
      <c r="M345" s="72">
        <f t="shared" si="68"/>
        <v>22229.344499999999</v>
      </c>
      <c r="N345" s="72">
        <f t="shared" si="69"/>
        <v>23029.344499999999</v>
      </c>
      <c r="O345" s="72">
        <f t="shared" si="70"/>
        <v>0</v>
      </c>
      <c r="P345" s="72">
        <f t="shared" si="71"/>
        <v>68770.655499999993</v>
      </c>
    </row>
    <row r="346" spans="2:16" ht="15" customHeight="1" x14ac:dyDescent="0.35">
      <c r="B346" s="52">
        <v>341</v>
      </c>
      <c r="C346" s="59">
        <f>'Rainfall Data'!J372</f>
        <v>46363</v>
      </c>
      <c r="D346" s="60">
        <f>'Rainfall Data'!P372</f>
        <v>0</v>
      </c>
      <c r="E346" s="61">
        <f t="shared" si="60"/>
        <v>0</v>
      </c>
      <c r="F346" s="62">
        <f t="shared" si="67"/>
        <v>200</v>
      </c>
      <c r="G346" s="63">
        <f t="shared" si="61"/>
        <v>270</v>
      </c>
      <c r="H346" s="64">
        <f t="shared" si="62"/>
        <v>0</v>
      </c>
      <c r="I346" s="65">
        <f t="shared" si="63"/>
        <v>0</v>
      </c>
      <c r="J346" s="66">
        <f t="shared" si="64"/>
        <v>270</v>
      </c>
      <c r="K346" s="61">
        <f t="shared" si="65"/>
        <v>200</v>
      </c>
      <c r="L346" s="67">
        <f t="shared" si="66"/>
        <v>0</v>
      </c>
      <c r="M346" s="62">
        <f t="shared" si="68"/>
        <v>22229.344499999999</v>
      </c>
      <c r="N346" s="62">
        <f t="shared" si="69"/>
        <v>23029.344499999999</v>
      </c>
      <c r="O346" s="62">
        <f t="shared" si="70"/>
        <v>0</v>
      </c>
      <c r="P346" s="62">
        <f t="shared" si="71"/>
        <v>69040.655499999993</v>
      </c>
    </row>
    <row r="347" spans="2:16" ht="15" customHeight="1" x14ac:dyDescent="0.35">
      <c r="B347" s="68">
        <v>342</v>
      </c>
      <c r="C347" s="69">
        <f>'Rainfall Data'!J373</f>
        <v>46364</v>
      </c>
      <c r="D347" s="70">
        <f>'Rainfall Data'!P373</f>
        <v>0</v>
      </c>
      <c r="E347" s="71">
        <f t="shared" si="60"/>
        <v>0</v>
      </c>
      <c r="F347" s="72">
        <f t="shared" si="67"/>
        <v>200</v>
      </c>
      <c r="G347" s="73">
        <f t="shared" si="61"/>
        <v>270</v>
      </c>
      <c r="H347" s="74">
        <f t="shared" si="62"/>
        <v>0</v>
      </c>
      <c r="I347" s="75">
        <f t="shared" si="63"/>
        <v>0</v>
      </c>
      <c r="J347" s="76">
        <f t="shared" si="64"/>
        <v>270</v>
      </c>
      <c r="K347" s="71">
        <f t="shared" si="65"/>
        <v>200</v>
      </c>
      <c r="L347" s="77">
        <f t="shared" si="66"/>
        <v>0</v>
      </c>
      <c r="M347" s="72">
        <f t="shared" si="68"/>
        <v>22229.344499999999</v>
      </c>
      <c r="N347" s="72">
        <f t="shared" si="69"/>
        <v>23029.344499999999</v>
      </c>
      <c r="O347" s="72">
        <f t="shared" si="70"/>
        <v>0</v>
      </c>
      <c r="P347" s="72">
        <f t="shared" si="71"/>
        <v>69310.655499999993</v>
      </c>
    </row>
    <row r="348" spans="2:16" ht="15" customHeight="1" x14ac:dyDescent="0.35">
      <c r="B348" s="52">
        <v>343</v>
      </c>
      <c r="C348" s="59">
        <f>'Rainfall Data'!J374</f>
        <v>46365</v>
      </c>
      <c r="D348" s="60">
        <f>'Rainfall Data'!P374</f>
        <v>0</v>
      </c>
      <c r="E348" s="61">
        <f t="shared" si="60"/>
        <v>0</v>
      </c>
      <c r="F348" s="62">
        <f t="shared" si="67"/>
        <v>200</v>
      </c>
      <c r="G348" s="63">
        <f t="shared" si="61"/>
        <v>270</v>
      </c>
      <c r="H348" s="64">
        <f t="shared" si="62"/>
        <v>0</v>
      </c>
      <c r="I348" s="65">
        <f t="shared" si="63"/>
        <v>0</v>
      </c>
      <c r="J348" s="66">
        <f t="shared" si="64"/>
        <v>270</v>
      </c>
      <c r="K348" s="61">
        <f t="shared" si="65"/>
        <v>200</v>
      </c>
      <c r="L348" s="67">
        <f t="shared" si="66"/>
        <v>0</v>
      </c>
      <c r="M348" s="62">
        <f t="shared" si="68"/>
        <v>22229.344499999999</v>
      </c>
      <c r="N348" s="62">
        <f t="shared" si="69"/>
        <v>23029.344499999999</v>
      </c>
      <c r="O348" s="62">
        <f t="shared" si="70"/>
        <v>0</v>
      </c>
      <c r="P348" s="62">
        <f t="shared" si="71"/>
        <v>69580.655499999993</v>
      </c>
    </row>
    <row r="349" spans="2:16" ht="15" customHeight="1" x14ac:dyDescent="0.35">
      <c r="B349" s="68">
        <v>344</v>
      </c>
      <c r="C349" s="69">
        <f>'Rainfall Data'!J375</f>
        <v>46366</v>
      </c>
      <c r="D349" s="70">
        <f>'Rainfall Data'!P375</f>
        <v>0</v>
      </c>
      <c r="E349" s="71">
        <f t="shared" si="60"/>
        <v>0</v>
      </c>
      <c r="F349" s="72">
        <f t="shared" si="67"/>
        <v>200</v>
      </c>
      <c r="G349" s="73">
        <f t="shared" si="61"/>
        <v>270</v>
      </c>
      <c r="H349" s="74">
        <f t="shared" si="62"/>
        <v>0</v>
      </c>
      <c r="I349" s="75">
        <f t="shared" si="63"/>
        <v>0</v>
      </c>
      <c r="J349" s="76">
        <f t="shared" si="64"/>
        <v>270</v>
      </c>
      <c r="K349" s="71">
        <f t="shared" si="65"/>
        <v>200</v>
      </c>
      <c r="L349" s="77">
        <f t="shared" si="66"/>
        <v>0</v>
      </c>
      <c r="M349" s="72">
        <f t="shared" si="68"/>
        <v>22229.344499999999</v>
      </c>
      <c r="N349" s="72">
        <f t="shared" si="69"/>
        <v>23029.344499999999</v>
      </c>
      <c r="O349" s="72">
        <f t="shared" si="70"/>
        <v>0</v>
      </c>
      <c r="P349" s="72">
        <f t="shared" si="71"/>
        <v>69850.655499999993</v>
      </c>
    </row>
    <row r="350" spans="2:16" ht="15" customHeight="1" x14ac:dyDescent="0.35">
      <c r="B350" s="52">
        <v>345</v>
      </c>
      <c r="C350" s="59">
        <f>'Rainfall Data'!J376</f>
        <v>46367</v>
      </c>
      <c r="D350" s="60">
        <f>'Rainfall Data'!P376</f>
        <v>0</v>
      </c>
      <c r="E350" s="61">
        <f t="shared" si="60"/>
        <v>0</v>
      </c>
      <c r="F350" s="62">
        <f t="shared" si="67"/>
        <v>200</v>
      </c>
      <c r="G350" s="63">
        <f t="shared" si="61"/>
        <v>270</v>
      </c>
      <c r="H350" s="64">
        <f t="shared" si="62"/>
        <v>0</v>
      </c>
      <c r="I350" s="65">
        <f t="shared" si="63"/>
        <v>0</v>
      </c>
      <c r="J350" s="66">
        <f t="shared" si="64"/>
        <v>270</v>
      </c>
      <c r="K350" s="61">
        <f t="shared" si="65"/>
        <v>200</v>
      </c>
      <c r="L350" s="67">
        <f t="shared" si="66"/>
        <v>0</v>
      </c>
      <c r="M350" s="62">
        <f t="shared" si="68"/>
        <v>22229.344499999999</v>
      </c>
      <c r="N350" s="62">
        <f t="shared" si="69"/>
        <v>23029.344499999999</v>
      </c>
      <c r="O350" s="62">
        <f t="shared" si="70"/>
        <v>0</v>
      </c>
      <c r="P350" s="62">
        <f t="shared" si="71"/>
        <v>70120.655499999993</v>
      </c>
    </row>
    <row r="351" spans="2:16" ht="15" customHeight="1" x14ac:dyDescent="0.35">
      <c r="B351" s="68">
        <v>346</v>
      </c>
      <c r="C351" s="69">
        <f>'Rainfall Data'!J377</f>
        <v>46368</v>
      </c>
      <c r="D351" s="70">
        <f>'Rainfall Data'!P377</f>
        <v>0</v>
      </c>
      <c r="E351" s="71">
        <f t="shared" si="60"/>
        <v>0</v>
      </c>
      <c r="F351" s="72">
        <f t="shared" si="67"/>
        <v>200</v>
      </c>
      <c r="G351" s="73">
        <f t="shared" si="61"/>
        <v>270</v>
      </c>
      <c r="H351" s="74">
        <f t="shared" si="62"/>
        <v>0</v>
      </c>
      <c r="I351" s="75">
        <f t="shared" si="63"/>
        <v>0</v>
      </c>
      <c r="J351" s="76">
        <f t="shared" si="64"/>
        <v>270</v>
      </c>
      <c r="K351" s="71">
        <f t="shared" si="65"/>
        <v>200</v>
      </c>
      <c r="L351" s="77">
        <f t="shared" si="66"/>
        <v>0</v>
      </c>
      <c r="M351" s="72">
        <f t="shared" si="68"/>
        <v>22229.344499999999</v>
      </c>
      <c r="N351" s="72">
        <f t="shared" si="69"/>
        <v>23029.344499999999</v>
      </c>
      <c r="O351" s="72">
        <f t="shared" si="70"/>
        <v>0</v>
      </c>
      <c r="P351" s="72">
        <f t="shared" si="71"/>
        <v>70390.655499999993</v>
      </c>
    </row>
    <row r="352" spans="2:16" ht="15" customHeight="1" x14ac:dyDescent="0.35">
      <c r="B352" s="52">
        <v>347</v>
      </c>
      <c r="C352" s="59">
        <f>'Rainfall Data'!J378</f>
        <v>46369</v>
      </c>
      <c r="D352" s="60">
        <f>'Rainfall Data'!P378</f>
        <v>0</v>
      </c>
      <c r="E352" s="61">
        <f t="shared" si="60"/>
        <v>0</v>
      </c>
      <c r="F352" s="62">
        <f t="shared" si="67"/>
        <v>200</v>
      </c>
      <c r="G352" s="63">
        <f t="shared" si="61"/>
        <v>270</v>
      </c>
      <c r="H352" s="64">
        <f t="shared" si="62"/>
        <v>0</v>
      </c>
      <c r="I352" s="65">
        <f t="shared" si="63"/>
        <v>0</v>
      </c>
      <c r="J352" s="66">
        <f t="shared" si="64"/>
        <v>270</v>
      </c>
      <c r="K352" s="61">
        <f t="shared" si="65"/>
        <v>200</v>
      </c>
      <c r="L352" s="67">
        <f t="shared" si="66"/>
        <v>0</v>
      </c>
      <c r="M352" s="62">
        <f t="shared" si="68"/>
        <v>22229.344499999999</v>
      </c>
      <c r="N352" s="62">
        <f t="shared" si="69"/>
        <v>23029.344499999999</v>
      </c>
      <c r="O352" s="62">
        <f t="shared" si="70"/>
        <v>0</v>
      </c>
      <c r="P352" s="62">
        <f t="shared" si="71"/>
        <v>70660.655499999993</v>
      </c>
    </row>
    <row r="353" spans="2:16" ht="15" customHeight="1" x14ac:dyDescent="0.35">
      <c r="B353" s="68">
        <v>348</v>
      </c>
      <c r="C353" s="69">
        <f>'Rainfall Data'!J379</f>
        <v>46370</v>
      </c>
      <c r="D353" s="70">
        <f>'Rainfall Data'!P379</f>
        <v>0</v>
      </c>
      <c r="E353" s="71">
        <f t="shared" si="60"/>
        <v>0</v>
      </c>
      <c r="F353" s="72">
        <f t="shared" si="67"/>
        <v>200</v>
      </c>
      <c r="G353" s="73">
        <f t="shared" si="61"/>
        <v>270</v>
      </c>
      <c r="H353" s="74">
        <f t="shared" si="62"/>
        <v>0</v>
      </c>
      <c r="I353" s="75">
        <f t="shared" si="63"/>
        <v>0</v>
      </c>
      <c r="J353" s="76">
        <f t="shared" si="64"/>
        <v>270</v>
      </c>
      <c r="K353" s="71">
        <f t="shared" si="65"/>
        <v>200</v>
      </c>
      <c r="L353" s="77">
        <f t="shared" si="66"/>
        <v>0</v>
      </c>
      <c r="M353" s="72">
        <f t="shared" si="68"/>
        <v>22229.344499999999</v>
      </c>
      <c r="N353" s="72">
        <f t="shared" si="69"/>
        <v>23029.344499999999</v>
      </c>
      <c r="O353" s="72">
        <f t="shared" si="70"/>
        <v>0</v>
      </c>
      <c r="P353" s="72">
        <f t="shared" si="71"/>
        <v>70930.655499999993</v>
      </c>
    </row>
    <row r="354" spans="2:16" ht="15" customHeight="1" x14ac:dyDescent="0.35">
      <c r="B354" s="52">
        <v>349</v>
      </c>
      <c r="C354" s="59">
        <f>'Rainfall Data'!J380</f>
        <v>46371</v>
      </c>
      <c r="D354" s="60">
        <f>'Rainfall Data'!P380</f>
        <v>0</v>
      </c>
      <c r="E354" s="61">
        <f t="shared" si="60"/>
        <v>0</v>
      </c>
      <c r="F354" s="62">
        <f t="shared" si="67"/>
        <v>200</v>
      </c>
      <c r="G354" s="63">
        <f t="shared" si="61"/>
        <v>270</v>
      </c>
      <c r="H354" s="64">
        <f t="shared" si="62"/>
        <v>0</v>
      </c>
      <c r="I354" s="65">
        <f t="shared" si="63"/>
        <v>0</v>
      </c>
      <c r="J354" s="66">
        <f t="shared" si="64"/>
        <v>270</v>
      </c>
      <c r="K354" s="61">
        <f t="shared" si="65"/>
        <v>200</v>
      </c>
      <c r="L354" s="67">
        <f t="shared" si="66"/>
        <v>0</v>
      </c>
      <c r="M354" s="62">
        <f t="shared" si="68"/>
        <v>22229.344499999999</v>
      </c>
      <c r="N354" s="62">
        <f t="shared" si="69"/>
        <v>23029.344499999999</v>
      </c>
      <c r="O354" s="62">
        <f t="shared" si="70"/>
        <v>0</v>
      </c>
      <c r="P354" s="62">
        <f t="shared" si="71"/>
        <v>71200.655499999993</v>
      </c>
    </row>
    <row r="355" spans="2:16" ht="15" customHeight="1" x14ac:dyDescent="0.35">
      <c r="B355" s="68">
        <v>350</v>
      </c>
      <c r="C355" s="69">
        <f>'Rainfall Data'!J381</f>
        <v>46372</v>
      </c>
      <c r="D355" s="70">
        <f>'Rainfall Data'!P381</f>
        <v>4</v>
      </c>
      <c r="E355" s="71">
        <f t="shared" si="60"/>
        <v>516.9615</v>
      </c>
      <c r="F355" s="72">
        <f t="shared" si="67"/>
        <v>200</v>
      </c>
      <c r="G355" s="73">
        <f t="shared" si="61"/>
        <v>270</v>
      </c>
      <c r="H355" s="74">
        <f t="shared" si="62"/>
        <v>270</v>
      </c>
      <c r="I355" s="75">
        <f t="shared" si="63"/>
        <v>0</v>
      </c>
      <c r="J355" s="76">
        <f t="shared" si="64"/>
        <v>0</v>
      </c>
      <c r="K355" s="71">
        <f t="shared" si="65"/>
        <v>446.9615</v>
      </c>
      <c r="L355" s="77">
        <f t="shared" si="66"/>
        <v>0.78327499999999994</v>
      </c>
      <c r="M355" s="72">
        <f t="shared" si="68"/>
        <v>22746.306</v>
      </c>
      <c r="N355" s="72">
        <f t="shared" si="69"/>
        <v>23299.344499999999</v>
      </c>
      <c r="O355" s="72">
        <f t="shared" si="70"/>
        <v>0</v>
      </c>
      <c r="P355" s="72">
        <f t="shared" si="71"/>
        <v>71200.655499999993</v>
      </c>
    </row>
    <row r="356" spans="2:16" ht="15" customHeight="1" x14ac:dyDescent="0.35">
      <c r="B356" s="52">
        <v>351</v>
      </c>
      <c r="C356" s="59">
        <f>'Rainfall Data'!J382</f>
        <v>46373</v>
      </c>
      <c r="D356" s="60">
        <f>'Rainfall Data'!P382</f>
        <v>0</v>
      </c>
      <c r="E356" s="61">
        <f t="shared" si="60"/>
        <v>0</v>
      </c>
      <c r="F356" s="62">
        <f t="shared" si="67"/>
        <v>446.9615</v>
      </c>
      <c r="G356" s="63">
        <f t="shared" si="61"/>
        <v>270</v>
      </c>
      <c r="H356" s="64">
        <f t="shared" si="62"/>
        <v>246.9615</v>
      </c>
      <c r="I356" s="65">
        <f t="shared" si="63"/>
        <v>0</v>
      </c>
      <c r="J356" s="66">
        <f t="shared" si="64"/>
        <v>23.038499999999999</v>
      </c>
      <c r="K356" s="61">
        <f t="shared" si="65"/>
        <v>200</v>
      </c>
      <c r="L356" s="67">
        <f t="shared" si="66"/>
        <v>0</v>
      </c>
      <c r="M356" s="62">
        <f t="shared" si="68"/>
        <v>22746.306</v>
      </c>
      <c r="N356" s="62">
        <f t="shared" si="69"/>
        <v>23546.306</v>
      </c>
      <c r="O356" s="62">
        <f t="shared" si="70"/>
        <v>0</v>
      </c>
      <c r="P356" s="62">
        <f t="shared" si="71"/>
        <v>71223.693999999989</v>
      </c>
    </row>
    <row r="357" spans="2:16" ht="15" customHeight="1" x14ac:dyDescent="0.35">
      <c r="B357" s="68">
        <v>352</v>
      </c>
      <c r="C357" s="69">
        <f>'Rainfall Data'!J383</f>
        <v>46374</v>
      </c>
      <c r="D357" s="70">
        <f>'Rainfall Data'!P383</f>
        <v>0</v>
      </c>
      <c r="E357" s="71">
        <f t="shared" si="60"/>
        <v>0</v>
      </c>
      <c r="F357" s="72">
        <f t="shared" si="67"/>
        <v>200</v>
      </c>
      <c r="G357" s="73">
        <f t="shared" si="61"/>
        <v>270</v>
      </c>
      <c r="H357" s="74">
        <f t="shared" si="62"/>
        <v>0</v>
      </c>
      <c r="I357" s="75">
        <f t="shared" si="63"/>
        <v>0</v>
      </c>
      <c r="J357" s="76">
        <f t="shared" si="64"/>
        <v>270</v>
      </c>
      <c r="K357" s="71">
        <f t="shared" si="65"/>
        <v>200</v>
      </c>
      <c r="L357" s="77">
        <f t="shared" si="66"/>
        <v>0</v>
      </c>
      <c r="M357" s="72">
        <f t="shared" si="68"/>
        <v>22746.306</v>
      </c>
      <c r="N357" s="72">
        <f t="shared" si="69"/>
        <v>23546.306</v>
      </c>
      <c r="O357" s="72">
        <f t="shared" si="70"/>
        <v>0</v>
      </c>
      <c r="P357" s="72">
        <f t="shared" si="71"/>
        <v>71493.693999999989</v>
      </c>
    </row>
    <row r="358" spans="2:16" ht="15" customHeight="1" x14ac:dyDescent="0.35">
      <c r="B358" s="52">
        <v>353</v>
      </c>
      <c r="C358" s="59">
        <f>'Rainfall Data'!J384</f>
        <v>46375</v>
      </c>
      <c r="D358" s="60">
        <f>'Rainfall Data'!P384</f>
        <v>0</v>
      </c>
      <c r="E358" s="61">
        <f t="shared" si="60"/>
        <v>0</v>
      </c>
      <c r="F358" s="62">
        <f t="shared" si="67"/>
        <v>200</v>
      </c>
      <c r="G358" s="63">
        <f t="shared" si="61"/>
        <v>270</v>
      </c>
      <c r="H358" s="64">
        <f t="shared" si="62"/>
        <v>0</v>
      </c>
      <c r="I358" s="65">
        <f t="shared" si="63"/>
        <v>0</v>
      </c>
      <c r="J358" s="66">
        <f t="shared" si="64"/>
        <v>270</v>
      </c>
      <c r="K358" s="61">
        <f t="shared" si="65"/>
        <v>200</v>
      </c>
      <c r="L358" s="67">
        <f t="shared" si="66"/>
        <v>0</v>
      </c>
      <c r="M358" s="62">
        <f t="shared" si="68"/>
        <v>22746.306</v>
      </c>
      <c r="N358" s="62">
        <f t="shared" si="69"/>
        <v>23546.306</v>
      </c>
      <c r="O358" s="62">
        <f t="shared" si="70"/>
        <v>0</v>
      </c>
      <c r="P358" s="62">
        <f t="shared" si="71"/>
        <v>71763.693999999989</v>
      </c>
    </row>
    <row r="359" spans="2:16" ht="15" customHeight="1" x14ac:dyDescent="0.35">
      <c r="B359" s="68">
        <v>354</v>
      </c>
      <c r="C359" s="69">
        <f>'Rainfall Data'!J385</f>
        <v>46376</v>
      </c>
      <c r="D359" s="70">
        <f>'Rainfall Data'!P385</f>
        <v>0</v>
      </c>
      <c r="E359" s="71">
        <f t="shared" si="60"/>
        <v>0</v>
      </c>
      <c r="F359" s="72">
        <f t="shared" si="67"/>
        <v>200</v>
      </c>
      <c r="G359" s="73">
        <f t="shared" si="61"/>
        <v>270</v>
      </c>
      <c r="H359" s="74">
        <f t="shared" si="62"/>
        <v>0</v>
      </c>
      <c r="I359" s="75">
        <f t="shared" si="63"/>
        <v>0</v>
      </c>
      <c r="J359" s="76">
        <f t="shared" si="64"/>
        <v>270</v>
      </c>
      <c r="K359" s="71">
        <f t="shared" si="65"/>
        <v>200</v>
      </c>
      <c r="L359" s="77">
        <f t="shared" si="66"/>
        <v>0</v>
      </c>
      <c r="M359" s="72">
        <f t="shared" si="68"/>
        <v>22746.306</v>
      </c>
      <c r="N359" s="72">
        <f t="shared" si="69"/>
        <v>23546.306</v>
      </c>
      <c r="O359" s="72">
        <f t="shared" si="70"/>
        <v>0</v>
      </c>
      <c r="P359" s="72">
        <f t="shared" si="71"/>
        <v>72033.693999999989</v>
      </c>
    </row>
    <row r="360" spans="2:16" ht="15" customHeight="1" x14ac:dyDescent="0.35">
      <c r="B360" s="52">
        <v>355</v>
      </c>
      <c r="C360" s="59">
        <f>'Rainfall Data'!J386</f>
        <v>46377</v>
      </c>
      <c r="D360" s="60">
        <f>'Rainfall Data'!P386</f>
        <v>0</v>
      </c>
      <c r="E360" s="61">
        <f t="shared" si="60"/>
        <v>0</v>
      </c>
      <c r="F360" s="62">
        <f t="shared" si="67"/>
        <v>200</v>
      </c>
      <c r="G360" s="63">
        <f t="shared" si="61"/>
        <v>270</v>
      </c>
      <c r="H360" s="64">
        <f t="shared" si="62"/>
        <v>0</v>
      </c>
      <c r="I360" s="65">
        <f t="shared" si="63"/>
        <v>0</v>
      </c>
      <c r="J360" s="66">
        <f t="shared" si="64"/>
        <v>270</v>
      </c>
      <c r="K360" s="61">
        <f t="shared" si="65"/>
        <v>200</v>
      </c>
      <c r="L360" s="67">
        <f t="shared" si="66"/>
        <v>0</v>
      </c>
      <c r="M360" s="62">
        <f t="shared" si="68"/>
        <v>22746.306</v>
      </c>
      <c r="N360" s="62">
        <f t="shared" si="69"/>
        <v>23546.306</v>
      </c>
      <c r="O360" s="62">
        <f t="shared" si="70"/>
        <v>0</v>
      </c>
      <c r="P360" s="62">
        <f t="shared" si="71"/>
        <v>72303.693999999989</v>
      </c>
    </row>
    <row r="361" spans="2:16" ht="15" customHeight="1" x14ac:dyDescent="0.35">
      <c r="B361" s="68">
        <v>356</v>
      </c>
      <c r="C361" s="69">
        <f>'Rainfall Data'!J387</f>
        <v>46378</v>
      </c>
      <c r="D361" s="70">
        <f>'Rainfall Data'!P387</f>
        <v>0</v>
      </c>
      <c r="E361" s="71">
        <f t="shared" si="60"/>
        <v>0</v>
      </c>
      <c r="F361" s="72">
        <f t="shared" si="67"/>
        <v>200</v>
      </c>
      <c r="G361" s="73">
        <f t="shared" si="61"/>
        <v>270</v>
      </c>
      <c r="H361" s="74">
        <f t="shared" si="62"/>
        <v>0</v>
      </c>
      <c r="I361" s="75">
        <f t="shared" si="63"/>
        <v>0</v>
      </c>
      <c r="J361" s="76">
        <f t="shared" si="64"/>
        <v>270</v>
      </c>
      <c r="K361" s="71">
        <f t="shared" si="65"/>
        <v>200</v>
      </c>
      <c r="L361" s="77">
        <f t="shared" si="66"/>
        <v>0</v>
      </c>
      <c r="M361" s="72">
        <f t="shared" si="68"/>
        <v>22746.306</v>
      </c>
      <c r="N361" s="72">
        <f t="shared" si="69"/>
        <v>23546.306</v>
      </c>
      <c r="O361" s="72">
        <f t="shared" si="70"/>
        <v>0</v>
      </c>
      <c r="P361" s="72">
        <f t="shared" si="71"/>
        <v>72573.693999999989</v>
      </c>
    </row>
    <row r="362" spans="2:16" ht="15" customHeight="1" x14ac:dyDescent="0.35">
      <c r="B362" s="52">
        <v>357</v>
      </c>
      <c r="C362" s="59">
        <f>'Rainfall Data'!J388</f>
        <v>46379</v>
      </c>
      <c r="D362" s="60">
        <f>'Rainfall Data'!P388</f>
        <v>0</v>
      </c>
      <c r="E362" s="61">
        <f t="shared" si="60"/>
        <v>0</v>
      </c>
      <c r="F362" s="62">
        <f t="shared" si="67"/>
        <v>200</v>
      </c>
      <c r="G362" s="63">
        <f t="shared" si="61"/>
        <v>270</v>
      </c>
      <c r="H362" s="64">
        <f t="shared" si="62"/>
        <v>0</v>
      </c>
      <c r="I362" s="65">
        <f t="shared" si="63"/>
        <v>0</v>
      </c>
      <c r="J362" s="66">
        <f t="shared" si="64"/>
        <v>270</v>
      </c>
      <c r="K362" s="61">
        <f t="shared" si="65"/>
        <v>200</v>
      </c>
      <c r="L362" s="67">
        <f t="shared" si="66"/>
        <v>0</v>
      </c>
      <c r="M362" s="62">
        <f t="shared" si="68"/>
        <v>22746.306</v>
      </c>
      <c r="N362" s="62">
        <f t="shared" si="69"/>
        <v>23546.306</v>
      </c>
      <c r="O362" s="62">
        <f t="shared" si="70"/>
        <v>0</v>
      </c>
      <c r="P362" s="62">
        <f t="shared" si="71"/>
        <v>72843.693999999989</v>
      </c>
    </row>
    <row r="363" spans="2:16" ht="15" customHeight="1" x14ac:dyDescent="0.35">
      <c r="B363" s="68">
        <v>358</v>
      </c>
      <c r="C363" s="69">
        <f>'Rainfall Data'!J389</f>
        <v>46380</v>
      </c>
      <c r="D363" s="70">
        <f>'Rainfall Data'!P389</f>
        <v>0</v>
      </c>
      <c r="E363" s="71">
        <f t="shared" si="60"/>
        <v>0</v>
      </c>
      <c r="F363" s="72">
        <f t="shared" si="67"/>
        <v>200</v>
      </c>
      <c r="G363" s="73">
        <f t="shared" si="61"/>
        <v>270</v>
      </c>
      <c r="H363" s="74">
        <f t="shared" si="62"/>
        <v>0</v>
      </c>
      <c r="I363" s="75">
        <f t="shared" si="63"/>
        <v>0</v>
      </c>
      <c r="J363" s="76">
        <f t="shared" si="64"/>
        <v>270</v>
      </c>
      <c r="K363" s="71">
        <f t="shared" si="65"/>
        <v>200</v>
      </c>
      <c r="L363" s="77">
        <f t="shared" si="66"/>
        <v>0</v>
      </c>
      <c r="M363" s="72">
        <f t="shared" si="68"/>
        <v>22746.306</v>
      </c>
      <c r="N363" s="72">
        <f t="shared" si="69"/>
        <v>23546.306</v>
      </c>
      <c r="O363" s="72">
        <f t="shared" si="70"/>
        <v>0</v>
      </c>
      <c r="P363" s="72">
        <f t="shared" si="71"/>
        <v>73113.693999999989</v>
      </c>
    </row>
    <row r="364" spans="2:16" ht="15" customHeight="1" x14ac:dyDescent="0.35">
      <c r="B364" s="52">
        <v>359</v>
      </c>
      <c r="C364" s="59">
        <f>'Rainfall Data'!J390</f>
        <v>46381</v>
      </c>
      <c r="D364" s="60">
        <f>'Rainfall Data'!P390</f>
        <v>0</v>
      </c>
      <c r="E364" s="61">
        <f t="shared" si="60"/>
        <v>0</v>
      </c>
      <c r="F364" s="62">
        <f t="shared" si="67"/>
        <v>200</v>
      </c>
      <c r="G364" s="63">
        <f t="shared" si="61"/>
        <v>270</v>
      </c>
      <c r="H364" s="64">
        <f t="shared" si="62"/>
        <v>0</v>
      </c>
      <c r="I364" s="65">
        <f t="shared" si="63"/>
        <v>0</v>
      </c>
      <c r="J364" s="66">
        <f t="shared" si="64"/>
        <v>270</v>
      </c>
      <c r="K364" s="61">
        <f t="shared" si="65"/>
        <v>200</v>
      </c>
      <c r="L364" s="67">
        <f t="shared" si="66"/>
        <v>0</v>
      </c>
      <c r="M364" s="62">
        <f t="shared" si="68"/>
        <v>22746.306</v>
      </c>
      <c r="N364" s="62">
        <f t="shared" si="69"/>
        <v>23546.306</v>
      </c>
      <c r="O364" s="62">
        <f t="shared" si="70"/>
        <v>0</v>
      </c>
      <c r="P364" s="62">
        <f t="shared" si="71"/>
        <v>73383.693999999989</v>
      </c>
    </row>
    <row r="365" spans="2:16" ht="15" customHeight="1" x14ac:dyDescent="0.35">
      <c r="B365" s="68">
        <v>360</v>
      </c>
      <c r="C365" s="69">
        <f>'Rainfall Data'!J391</f>
        <v>46382</v>
      </c>
      <c r="D365" s="70">
        <f>'Rainfall Data'!P391</f>
        <v>0</v>
      </c>
      <c r="E365" s="71">
        <f t="shared" si="60"/>
        <v>0</v>
      </c>
      <c r="F365" s="72">
        <f t="shared" si="67"/>
        <v>200</v>
      </c>
      <c r="G365" s="73">
        <f t="shared" si="61"/>
        <v>270</v>
      </c>
      <c r="H365" s="74">
        <f t="shared" si="62"/>
        <v>0</v>
      </c>
      <c r="I365" s="75">
        <f t="shared" si="63"/>
        <v>0</v>
      </c>
      <c r="J365" s="76">
        <f t="shared" si="64"/>
        <v>270</v>
      </c>
      <c r="K365" s="71">
        <f t="shared" si="65"/>
        <v>200</v>
      </c>
      <c r="L365" s="77">
        <f t="shared" si="66"/>
        <v>0</v>
      </c>
      <c r="M365" s="72">
        <f t="shared" si="68"/>
        <v>22746.306</v>
      </c>
      <c r="N365" s="72">
        <f t="shared" si="69"/>
        <v>23546.306</v>
      </c>
      <c r="O365" s="72">
        <f t="shared" si="70"/>
        <v>0</v>
      </c>
      <c r="P365" s="72">
        <f t="shared" si="71"/>
        <v>73653.693999999989</v>
      </c>
    </row>
    <row r="366" spans="2:16" ht="15" customHeight="1" x14ac:dyDescent="0.35">
      <c r="B366" s="52">
        <v>361</v>
      </c>
      <c r="C366" s="59">
        <f>'Rainfall Data'!J392</f>
        <v>46383</v>
      </c>
      <c r="D366" s="60">
        <f>'Rainfall Data'!P392</f>
        <v>0</v>
      </c>
      <c r="E366" s="61">
        <f t="shared" si="60"/>
        <v>0</v>
      </c>
      <c r="F366" s="62">
        <f t="shared" si="67"/>
        <v>200</v>
      </c>
      <c r="G366" s="63">
        <f t="shared" si="61"/>
        <v>270</v>
      </c>
      <c r="H366" s="64">
        <f t="shared" si="62"/>
        <v>0</v>
      </c>
      <c r="I366" s="65">
        <f t="shared" si="63"/>
        <v>0</v>
      </c>
      <c r="J366" s="66">
        <f t="shared" si="64"/>
        <v>270</v>
      </c>
      <c r="K366" s="61">
        <f t="shared" si="65"/>
        <v>200</v>
      </c>
      <c r="L366" s="67">
        <f t="shared" si="66"/>
        <v>0</v>
      </c>
      <c r="M366" s="62">
        <f t="shared" si="68"/>
        <v>22746.306</v>
      </c>
      <c r="N366" s="62">
        <f t="shared" si="69"/>
        <v>23546.306</v>
      </c>
      <c r="O366" s="62">
        <f t="shared" si="70"/>
        <v>0</v>
      </c>
      <c r="P366" s="62">
        <f t="shared" si="71"/>
        <v>73923.693999999989</v>
      </c>
    </row>
    <row r="367" spans="2:16" ht="15" customHeight="1" x14ac:dyDescent="0.35">
      <c r="B367" s="68">
        <v>362</v>
      </c>
      <c r="C367" s="69">
        <f>'Rainfall Data'!J393</f>
        <v>46384</v>
      </c>
      <c r="D367" s="70">
        <f>'Rainfall Data'!P393</f>
        <v>0</v>
      </c>
      <c r="E367" s="71">
        <f t="shared" si="60"/>
        <v>0</v>
      </c>
      <c r="F367" s="72">
        <f t="shared" si="67"/>
        <v>200</v>
      </c>
      <c r="G367" s="73">
        <f t="shared" si="61"/>
        <v>270</v>
      </c>
      <c r="H367" s="74">
        <f t="shared" si="62"/>
        <v>0</v>
      </c>
      <c r="I367" s="75">
        <f t="shared" si="63"/>
        <v>0</v>
      </c>
      <c r="J367" s="76">
        <f t="shared" si="64"/>
        <v>270</v>
      </c>
      <c r="K367" s="71">
        <f t="shared" si="65"/>
        <v>200</v>
      </c>
      <c r="L367" s="77">
        <f t="shared" si="66"/>
        <v>0</v>
      </c>
      <c r="M367" s="72">
        <f t="shared" si="68"/>
        <v>22746.306</v>
      </c>
      <c r="N367" s="72">
        <f t="shared" si="69"/>
        <v>23546.306</v>
      </c>
      <c r="O367" s="72">
        <f t="shared" si="70"/>
        <v>0</v>
      </c>
      <c r="P367" s="72">
        <f t="shared" si="71"/>
        <v>74193.693999999989</v>
      </c>
    </row>
    <row r="368" spans="2:16" ht="15" customHeight="1" x14ac:dyDescent="0.35">
      <c r="B368" s="52">
        <v>363</v>
      </c>
      <c r="C368" s="59">
        <f>'Rainfall Data'!J394</f>
        <v>46385</v>
      </c>
      <c r="D368" s="60">
        <f>'Rainfall Data'!P394</f>
        <v>0</v>
      </c>
      <c r="E368" s="61">
        <f t="shared" si="60"/>
        <v>0</v>
      </c>
      <c r="F368" s="62">
        <f t="shared" si="67"/>
        <v>200</v>
      </c>
      <c r="G368" s="63">
        <f t="shared" si="61"/>
        <v>270</v>
      </c>
      <c r="H368" s="64">
        <f t="shared" si="62"/>
        <v>0</v>
      </c>
      <c r="I368" s="65">
        <f t="shared" si="63"/>
        <v>0</v>
      </c>
      <c r="J368" s="66">
        <f t="shared" si="64"/>
        <v>270</v>
      </c>
      <c r="K368" s="61">
        <f t="shared" si="65"/>
        <v>200</v>
      </c>
      <c r="L368" s="67">
        <f t="shared" si="66"/>
        <v>0</v>
      </c>
      <c r="M368" s="62">
        <f t="shared" si="68"/>
        <v>22746.306</v>
      </c>
      <c r="N368" s="62">
        <f t="shared" si="69"/>
        <v>23546.306</v>
      </c>
      <c r="O368" s="62">
        <f t="shared" si="70"/>
        <v>0</v>
      </c>
      <c r="P368" s="62">
        <f t="shared" si="71"/>
        <v>74463.693999999989</v>
      </c>
    </row>
    <row r="369" spans="2:16" ht="15" customHeight="1" x14ac:dyDescent="0.35">
      <c r="B369" s="68">
        <v>364</v>
      </c>
      <c r="C369" s="69">
        <f>'Rainfall Data'!J395</f>
        <v>46386</v>
      </c>
      <c r="D369" s="70">
        <f>'Rainfall Data'!P395</f>
        <v>0</v>
      </c>
      <c r="E369" s="71">
        <f t="shared" si="60"/>
        <v>0</v>
      </c>
      <c r="F369" s="72">
        <f t="shared" si="67"/>
        <v>200</v>
      </c>
      <c r="G369" s="73">
        <f t="shared" si="61"/>
        <v>270</v>
      </c>
      <c r="H369" s="74">
        <f t="shared" si="62"/>
        <v>0</v>
      </c>
      <c r="I369" s="75">
        <f t="shared" si="63"/>
        <v>0</v>
      </c>
      <c r="J369" s="76">
        <f t="shared" si="64"/>
        <v>270</v>
      </c>
      <c r="K369" s="71">
        <f t="shared" si="65"/>
        <v>200</v>
      </c>
      <c r="L369" s="77">
        <f t="shared" si="66"/>
        <v>0</v>
      </c>
      <c r="M369" s="72">
        <f t="shared" si="68"/>
        <v>22746.306</v>
      </c>
      <c r="N369" s="72">
        <f t="shared" si="69"/>
        <v>23546.306</v>
      </c>
      <c r="O369" s="72">
        <f t="shared" si="70"/>
        <v>0</v>
      </c>
      <c r="P369" s="72">
        <f t="shared" si="71"/>
        <v>74733.693999999989</v>
      </c>
    </row>
    <row r="370" spans="2:16" ht="15" customHeight="1" x14ac:dyDescent="0.35">
      <c r="B370" s="52">
        <v>365</v>
      </c>
      <c r="C370" s="59">
        <f>'Rainfall Data'!J396</f>
        <v>46387</v>
      </c>
      <c r="D370" s="60">
        <f>'Rainfall Data'!P396</f>
        <v>0</v>
      </c>
      <c r="E370" s="61">
        <f t="shared" si="60"/>
        <v>0</v>
      </c>
      <c r="F370" s="62">
        <f t="shared" si="67"/>
        <v>200</v>
      </c>
      <c r="G370" s="63">
        <f t="shared" si="61"/>
        <v>270</v>
      </c>
      <c r="H370" s="64">
        <f t="shared" si="62"/>
        <v>0</v>
      </c>
      <c r="I370" s="65">
        <f t="shared" si="63"/>
        <v>0</v>
      </c>
      <c r="J370" s="66">
        <f t="shared" si="64"/>
        <v>270</v>
      </c>
      <c r="K370" s="61">
        <f t="shared" si="65"/>
        <v>200</v>
      </c>
      <c r="L370" s="67">
        <f t="shared" si="66"/>
        <v>0</v>
      </c>
      <c r="M370" s="62">
        <f t="shared" si="68"/>
        <v>22746.306</v>
      </c>
      <c r="N370" s="62">
        <f t="shared" si="69"/>
        <v>23546.306</v>
      </c>
      <c r="O370" s="62">
        <f t="shared" si="70"/>
        <v>0</v>
      </c>
      <c r="P370" s="62">
        <f t="shared" si="71"/>
        <v>75003.693999999989</v>
      </c>
    </row>
  </sheetData>
  <mergeCells count="2">
    <mergeCell ref="B2:P2"/>
    <mergeCell ref="B3:P3"/>
  </mergeCells>
  <conditionalFormatting sqref="I6:I370">
    <cfRule type="cellIs" dxfId="1" priority="3" operator="greaterThan">
      <formula>0</formula>
    </cfRule>
  </conditionalFormatting>
  <conditionalFormatting sqref="J6:J370">
    <cfRule type="cellIs" dxfId="0" priority="2" operator="greaterThan">
      <formula>0</formula>
    </cfRule>
  </conditionalFormatting>
  <conditionalFormatting sqref="K6:K370">
    <cfRule type="dataBar" priority="4">
      <dataBar>
        <cfvo type="num" val="0"/>
        <cfvo type="max"/>
        <color rgb="FF2E5EAA"/>
      </dataBar>
      <extLst>
        <ext xmlns:x14="http://schemas.microsoft.com/office/spreadsheetml/2009/9/main" uri="{B025F937-C7B1-47D3-B67F-A62EFF666E3E}">
          <x14:id>{CDB272F1-45F4-4919-8F22-4E12CDB38735}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B272F1-45F4-4919-8F22-4E12CDB38735}">
            <x14:dataBar axisPosition="none">
              <x14:cfvo type="num">
                <xm:f>0</xm:f>
              </x14:cfvo>
              <x14:cfvo type="max"/>
              <x14:negativeFillColor rgb="FF2E5EAA"/>
            </x14:dataBar>
          </x14:cfRule>
          <xm:sqref>K6:K370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D4A5C"/>
  </sheetPr>
  <dimension ref="B2:K18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328125" defaultRowHeight="14.5" x14ac:dyDescent="0.35"/>
  <cols>
    <col min="1" max="1" width="3" customWidth="1"/>
    <col min="2" max="2" width="10" customWidth="1"/>
    <col min="3" max="3" width="11" customWidth="1"/>
    <col min="4" max="4" width="13" customWidth="1"/>
    <col min="5" max="5" width="11" customWidth="1"/>
    <col min="6" max="6" width="13" customWidth="1"/>
    <col min="7" max="8" width="11" customWidth="1"/>
    <col min="9" max="10" width="13" customWidth="1"/>
    <col min="11" max="11" width="11" customWidth="1"/>
    <col min="12" max="12" width="3" customWidth="1"/>
  </cols>
  <sheetData>
    <row r="2" spans="2:11" ht="27.75" customHeight="1" x14ac:dyDescent="0.35">
      <c r="B2" s="11" t="s">
        <v>328</v>
      </c>
      <c r="C2" s="11"/>
      <c r="D2" s="11"/>
      <c r="E2" s="11"/>
      <c r="F2" s="11"/>
      <c r="G2" s="11"/>
      <c r="H2" s="11"/>
      <c r="I2" s="11"/>
      <c r="J2" s="11"/>
      <c r="K2" s="11"/>
    </row>
    <row r="3" spans="2:11" ht="15" customHeight="1" x14ac:dyDescent="0.35">
      <c r="B3" s="10" t="s">
        <v>125</v>
      </c>
      <c r="C3" s="10"/>
      <c r="D3" s="10"/>
      <c r="E3" s="10"/>
      <c r="F3" s="10"/>
      <c r="G3" s="10"/>
      <c r="H3" s="10"/>
      <c r="I3" s="10"/>
      <c r="J3" s="10"/>
      <c r="K3" s="10"/>
    </row>
    <row r="5" spans="2:11" ht="31.5" customHeight="1" x14ac:dyDescent="0.35">
      <c r="B5" s="51" t="s">
        <v>97</v>
      </c>
      <c r="C5" s="51" t="s">
        <v>112</v>
      </c>
      <c r="D5" s="51" t="s">
        <v>113</v>
      </c>
      <c r="E5" s="51" t="s">
        <v>126</v>
      </c>
      <c r="F5" s="51" t="s">
        <v>116</v>
      </c>
      <c r="G5" s="51" t="s">
        <v>117</v>
      </c>
      <c r="H5" s="51" t="s">
        <v>118</v>
      </c>
      <c r="I5" s="51" t="s">
        <v>127</v>
      </c>
      <c r="J5" s="51" t="s">
        <v>128</v>
      </c>
      <c r="K5" s="51" t="s">
        <v>129</v>
      </c>
    </row>
    <row r="6" spans="2:11" ht="18" customHeight="1" x14ac:dyDescent="0.35">
      <c r="B6" s="46" t="s">
        <v>130</v>
      </c>
      <c r="C6" s="78">
        <f>SUMPRODUCT((MONTH(Sim_Date)=1)*Sim_Rainfall)</f>
        <v>3</v>
      </c>
      <c r="D6" s="79">
        <f>SUMPRODUCT((MONTH(Sim_Date)=1)*Sim_Collected)</f>
        <v>344.64099999999996</v>
      </c>
      <c r="E6" s="79">
        <f>SUMPRODUCT((MONTH(Sim_Date)=1)*Sim_Demand)</f>
        <v>8370</v>
      </c>
      <c r="F6" s="80">
        <f>SUMPRODUCT((MONTH(Sim_Date)=1)*Sim_Supplied)</f>
        <v>1144.6410000000001</v>
      </c>
      <c r="G6" s="81">
        <f>SUMPRODUCT((MONTH(Sim_Date)=1)*Sim_Overflow)</f>
        <v>0</v>
      </c>
      <c r="H6" s="82">
        <f>SUMPRODUCT((MONTH(Sim_Date)=1)*Sim_Shortage)</f>
        <v>7225.3590000000004</v>
      </c>
      <c r="I6" s="79">
        <f>AVERAGEIFS(Sim_FinalLevel,Sim_Date,"&gt;="&amp;DATE(2026,1,1),Sim_Date,"&lt;"&amp;EDATE(DATE(2026,1,1),1))</f>
        <v>227.89164516129031</v>
      </c>
      <c r="J6" s="83">
        <f t="shared" ref="J6:J18" si="0">I6/TankCapacity_L</f>
        <v>4.5578329032258065E-2</v>
      </c>
      <c r="K6" s="84">
        <f t="shared" ref="K6:K18" si="1">IF(E6=0,1,F6/E6)</f>
        <v>0.1367551971326165</v>
      </c>
    </row>
    <row r="7" spans="2:11" ht="18" customHeight="1" x14ac:dyDescent="0.35">
      <c r="B7" s="85" t="s">
        <v>131</v>
      </c>
      <c r="C7" s="86">
        <f>SUMPRODUCT((MONTH(Sim_Date)=2)*Sim_Rainfall)</f>
        <v>2</v>
      </c>
      <c r="D7" s="87">
        <f>SUMPRODUCT((MONTH(Sim_Date)=2)*Sim_Collected)</f>
        <v>172.32049999999998</v>
      </c>
      <c r="E7" s="87">
        <f>SUMPRODUCT((MONTH(Sim_Date)=2)*Sim_Demand)</f>
        <v>7560</v>
      </c>
      <c r="F7" s="88">
        <f>SUMPRODUCT((MONTH(Sim_Date)=2)*Sim_Supplied)</f>
        <v>172.32049999999998</v>
      </c>
      <c r="G7" s="89">
        <f>SUMPRODUCT((MONTH(Sim_Date)=2)*Sim_Overflow)</f>
        <v>0</v>
      </c>
      <c r="H7" s="90">
        <f>SUMPRODUCT((MONTH(Sim_Date)=2)*Sim_Shortage)</f>
        <v>7387.6795000000002</v>
      </c>
      <c r="I7" s="87">
        <f>AVERAGEIFS(Sim_FinalLevel,Sim_Date,"&gt;="&amp;DATE(2026,2,1),Sim_Date,"&lt;"&amp;EDATE(DATE(2026,2,1),1))</f>
        <v>200</v>
      </c>
      <c r="J7" s="91">
        <f t="shared" si="0"/>
        <v>0.04</v>
      </c>
      <c r="K7" s="92">
        <f t="shared" si="1"/>
        <v>2.2793716931216929E-2</v>
      </c>
    </row>
    <row r="8" spans="2:11" ht="18" customHeight="1" x14ac:dyDescent="0.35">
      <c r="B8" s="46" t="s">
        <v>132</v>
      </c>
      <c r="C8" s="78">
        <f>SUMPRODUCT((MONTH(Sim_Date)=3)*Sim_Rainfall)</f>
        <v>2</v>
      </c>
      <c r="D8" s="79">
        <f>SUMPRODUCT((MONTH(Sim_Date)=3)*Sim_Collected)</f>
        <v>0</v>
      </c>
      <c r="E8" s="79">
        <f>SUMPRODUCT((MONTH(Sim_Date)=3)*Sim_Demand)</f>
        <v>8370</v>
      </c>
      <c r="F8" s="80">
        <f>SUMPRODUCT((MONTH(Sim_Date)=3)*Sim_Supplied)</f>
        <v>0</v>
      </c>
      <c r="G8" s="81">
        <f>SUMPRODUCT((MONTH(Sim_Date)=3)*Sim_Overflow)</f>
        <v>0</v>
      </c>
      <c r="H8" s="82">
        <f>SUMPRODUCT((MONTH(Sim_Date)=3)*Sim_Shortage)</f>
        <v>8370</v>
      </c>
      <c r="I8" s="79">
        <f>AVERAGEIFS(Sim_FinalLevel,Sim_Date,"&gt;="&amp;DATE(2026,3,1),Sim_Date,"&lt;"&amp;EDATE(DATE(2026,3,1),1))</f>
        <v>200</v>
      </c>
      <c r="J8" s="83">
        <f t="shared" si="0"/>
        <v>0.04</v>
      </c>
      <c r="K8" s="84">
        <f t="shared" si="1"/>
        <v>0</v>
      </c>
    </row>
    <row r="9" spans="2:11" ht="18" customHeight="1" x14ac:dyDescent="0.35">
      <c r="B9" s="85" t="s">
        <v>133</v>
      </c>
      <c r="C9" s="86">
        <f>SUMPRODUCT((MONTH(Sim_Date)=4)*Sim_Rainfall)</f>
        <v>0</v>
      </c>
      <c r="D9" s="87">
        <f>SUMPRODUCT((MONTH(Sim_Date)=4)*Sim_Collected)</f>
        <v>0</v>
      </c>
      <c r="E9" s="87">
        <f>SUMPRODUCT((MONTH(Sim_Date)=4)*Sim_Demand)</f>
        <v>8100</v>
      </c>
      <c r="F9" s="88">
        <f>SUMPRODUCT((MONTH(Sim_Date)=4)*Sim_Supplied)</f>
        <v>0</v>
      </c>
      <c r="G9" s="89">
        <f>SUMPRODUCT((MONTH(Sim_Date)=4)*Sim_Overflow)</f>
        <v>0</v>
      </c>
      <c r="H9" s="90">
        <f>SUMPRODUCT((MONTH(Sim_Date)=4)*Sim_Shortage)</f>
        <v>8100</v>
      </c>
      <c r="I9" s="87">
        <f>AVERAGEIFS(Sim_FinalLevel,Sim_Date,"&gt;="&amp;DATE(2026,4,1),Sim_Date,"&lt;"&amp;EDATE(DATE(2026,4,1),1))</f>
        <v>200</v>
      </c>
      <c r="J9" s="91">
        <f t="shared" si="0"/>
        <v>0.04</v>
      </c>
      <c r="K9" s="92">
        <f t="shared" si="1"/>
        <v>0</v>
      </c>
    </row>
    <row r="10" spans="2:11" ht="18" customHeight="1" x14ac:dyDescent="0.35">
      <c r="B10" s="46" t="s">
        <v>81</v>
      </c>
      <c r="C10" s="78">
        <f>SUMPRODUCT((MONTH(Sim_Date)=5)*Sim_Rainfall)</f>
        <v>0</v>
      </c>
      <c r="D10" s="79">
        <f>SUMPRODUCT((MONTH(Sim_Date)=5)*Sim_Collected)</f>
        <v>0</v>
      </c>
      <c r="E10" s="79">
        <f>SUMPRODUCT((MONTH(Sim_Date)=5)*Sim_Demand)</f>
        <v>8370</v>
      </c>
      <c r="F10" s="80">
        <f>SUMPRODUCT((MONTH(Sim_Date)=5)*Sim_Supplied)</f>
        <v>0</v>
      </c>
      <c r="G10" s="81">
        <f>SUMPRODUCT((MONTH(Sim_Date)=5)*Sim_Overflow)</f>
        <v>0</v>
      </c>
      <c r="H10" s="82">
        <f>SUMPRODUCT((MONTH(Sim_Date)=5)*Sim_Shortage)</f>
        <v>8370</v>
      </c>
      <c r="I10" s="79">
        <f>AVERAGEIFS(Sim_FinalLevel,Sim_Date,"&gt;="&amp;DATE(2026,5,1),Sim_Date,"&lt;"&amp;EDATE(DATE(2026,5,1),1))</f>
        <v>200</v>
      </c>
      <c r="J10" s="83">
        <f t="shared" si="0"/>
        <v>0.04</v>
      </c>
      <c r="K10" s="84">
        <f t="shared" si="1"/>
        <v>0</v>
      </c>
    </row>
    <row r="11" spans="2:11" ht="18" customHeight="1" x14ac:dyDescent="0.35">
      <c r="B11" s="85" t="s">
        <v>134</v>
      </c>
      <c r="C11" s="86">
        <f>SUMPRODUCT((MONTH(Sim_Date)=6)*Sim_Rainfall)</f>
        <v>3</v>
      </c>
      <c r="D11" s="87">
        <f>SUMPRODUCT((MONTH(Sim_Date)=6)*Sim_Collected)</f>
        <v>172.32049999999998</v>
      </c>
      <c r="E11" s="87">
        <f>SUMPRODUCT((MONTH(Sim_Date)=6)*Sim_Demand)</f>
        <v>8100</v>
      </c>
      <c r="F11" s="88">
        <f>SUMPRODUCT((MONTH(Sim_Date)=6)*Sim_Supplied)</f>
        <v>172.32050000000004</v>
      </c>
      <c r="G11" s="89">
        <f>SUMPRODUCT((MONTH(Sim_Date)=6)*Sim_Overflow)</f>
        <v>0</v>
      </c>
      <c r="H11" s="90">
        <f>SUMPRODUCT((MONTH(Sim_Date)=6)*Sim_Shortage)</f>
        <v>7927.6795000000002</v>
      </c>
      <c r="I11" s="87">
        <f>AVERAGEIFS(Sim_FinalLevel,Sim_Date,"&gt;="&amp;DATE(2026,6,1),Sim_Date,"&lt;"&amp;EDATE(DATE(2026,6,1),1))</f>
        <v>200</v>
      </c>
      <c r="J11" s="91">
        <f t="shared" si="0"/>
        <v>0.04</v>
      </c>
      <c r="K11" s="92">
        <f t="shared" si="1"/>
        <v>2.1274135802469139E-2</v>
      </c>
    </row>
    <row r="12" spans="2:11" ht="18" customHeight="1" x14ac:dyDescent="0.35">
      <c r="B12" s="46" t="s">
        <v>135</v>
      </c>
      <c r="C12" s="78">
        <f>SUMPRODUCT((MONTH(Sim_Date)=7)*Sim_Rainfall)</f>
        <v>65</v>
      </c>
      <c r="D12" s="79">
        <f>SUMPRODUCT((MONTH(Sim_Date)=7)*Sim_Collected)</f>
        <v>10166.9095</v>
      </c>
      <c r="E12" s="79">
        <f>SUMPRODUCT((MONTH(Sim_Date)=7)*Sim_Demand)</f>
        <v>8370</v>
      </c>
      <c r="F12" s="80">
        <f>SUMPRODUCT((MONTH(Sim_Date)=7)*Sim_Supplied)</f>
        <v>7560</v>
      </c>
      <c r="G12" s="81">
        <f>SUMPRODUCT((MONTH(Sim_Date)=7)*Sim_Overflow)</f>
        <v>0</v>
      </c>
      <c r="H12" s="82">
        <f>SUMPRODUCT((MONTH(Sim_Date)=7)*Sim_Shortage)</f>
        <v>810</v>
      </c>
      <c r="I12" s="79">
        <f>AVERAGEIFS(Sim_FinalLevel,Sim_Date,"&gt;="&amp;DATE(2026,7,1),Sim_Date,"&lt;"&amp;EDATE(DATE(2026,7,1),1))</f>
        <v>2075.2905403225805</v>
      </c>
      <c r="J12" s="83">
        <f t="shared" si="0"/>
        <v>0.4150581080645161</v>
      </c>
      <c r="K12" s="84">
        <f t="shared" si="1"/>
        <v>0.90322580645161288</v>
      </c>
    </row>
    <row r="13" spans="2:11" ht="18" customHeight="1" x14ac:dyDescent="0.35">
      <c r="B13" s="85" t="s">
        <v>136</v>
      </c>
      <c r="C13" s="86">
        <f>SUMPRODUCT((MONTH(Sim_Date)=8)*Sim_Rainfall)</f>
        <v>57</v>
      </c>
      <c r="D13" s="87">
        <f>SUMPRODUCT((MONTH(Sim_Date)=8)*Sim_Collected)</f>
        <v>8960.6659999999993</v>
      </c>
      <c r="E13" s="87">
        <f>SUMPRODUCT((MONTH(Sim_Date)=8)*Sim_Demand)</f>
        <v>8370</v>
      </c>
      <c r="F13" s="88">
        <f>SUMPRODUCT((MONTH(Sim_Date)=8)*Sim_Supplied)</f>
        <v>8370</v>
      </c>
      <c r="G13" s="89">
        <f>SUMPRODUCT((MONTH(Sim_Date)=8)*Sim_Overflow)</f>
        <v>0</v>
      </c>
      <c r="H13" s="90">
        <f>SUMPRODUCT((MONTH(Sim_Date)=8)*Sim_Shortage)</f>
        <v>0</v>
      </c>
      <c r="I13" s="87">
        <f>AVERAGEIFS(Sim_FinalLevel,Sim_Date,"&gt;="&amp;DATE(2026,8,1),Sim_Date,"&lt;"&amp;EDATE(DATE(2026,8,1),1))</f>
        <v>3227.3908677419354</v>
      </c>
      <c r="J13" s="91">
        <f t="shared" si="0"/>
        <v>0.6454781735483871</v>
      </c>
      <c r="K13" s="92">
        <f t="shared" si="1"/>
        <v>1</v>
      </c>
    </row>
    <row r="14" spans="2:11" ht="18" customHeight="1" x14ac:dyDescent="0.35">
      <c r="B14" s="46" t="s">
        <v>137</v>
      </c>
      <c r="C14" s="78">
        <f>SUMPRODUCT((MONTH(Sim_Date)=9)*Sim_Rainfall)</f>
        <v>15</v>
      </c>
      <c r="D14" s="79">
        <f>SUMPRODUCT((MONTH(Sim_Date)=9)*Sim_Collected)</f>
        <v>2067.8459999999995</v>
      </c>
      <c r="E14" s="79">
        <f>SUMPRODUCT((MONTH(Sim_Date)=9)*Sim_Demand)</f>
        <v>8100</v>
      </c>
      <c r="F14" s="80">
        <f>SUMPRODUCT((MONTH(Sim_Date)=9)*Sim_Supplied)</f>
        <v>5265.4214999999995</v>
      </c>
      <c r="G14" s="81">
        <f>SUMPRODUCT((MONTH(Sim_Date)=9)*Sim_Overflow)</f>
        <v>0</v>
      </c>
      <c r="H14" s="82">
        <f>SUMPRODUCT((MONTH(Sim_Date)=9)*Sim_Shortage)</f>
        <v>2834.578500000001</v>
      </c>
      <c r="I14" s="79">
        <f>AVERAGEIFS(Sim_FinalLevel,Sim_Date,"&gt;="&amp;DATE(2026,9,1),Sim_Date,"&lt;"&amp;EDATE(DATE(2026,9,1),1))</f>
        <v>953.06246666666584</v>
      </c>
      <c r="J14" s="83">
        <f t="shared" si="0"/>
        <v>0.19061249333333316</v>
      </c>
      <c r="K14" s="84">
        <f t="shared" si="1"/>
        <v>0.65005203703703696</v>
      </c>
    </row>
    <row r="15" spans="2:11" ht="18" customHeight="1" x14ac:dyDescent="0.35">
      <c r="B15" s="85" t="s">
        <v>138</v>
      </c>
      <c r="C15" s="86">
        <f>SUMPRODUCT((MONTH(Sim_Date)=10)*Sim_Rainfall)</f>
        <v>2</v>
      </c>
      <c r="D15" s="87">
        <f>SUMPRODUCT((MONTH(Sim_Date)=10)*Sim_Collected)</f>
        <v>172.32049999999998</v>
      </c>
      <c r="E15" s="87">
        <f>SUMPRODUCT((MONTH(Sim_Date)=10)*Sim_Demand)</f>
        <v>8370</v>
      </c>
      <c r="F15" s="88">
        <f>SUMPRODUCT((MONTH(Sim_Date)=10)*Sim_Supplied)</f>
        <v>172.32049999999998</v>
      </c>
      <c r="G15" s="89">
        <f>SUMPRODUCT((MONTH(Sim_Date)=10)*Sim_Overflow)</f>
        <v>0</v>
      </c>
      <c r="H15" s="90">
        <f>SUMPRODUCT((MONTH(Sim_Date)=10)*Sim_Shortage)</f>
        <v>8197.6795000000002</v>
      </c>
      <c r="I15" s="87">
        <f>AVERAGEIFS(Sim_FinalLevel,Sim_Date,"&gt;="&amp;DATE(2026,10,1),Sim_Date,"&lt;"&amp;EDATE(DATE(2026,10,1),1))</f>
        <v>200</v>
      </c>
      <c r="J15" s="91">
        <f t="shared" si="0"/>
        <v>0.04</v>
      </c>
      <c r="K15" s="92">
        <f t="shared" si="1"/>
        <v>2.0587873357228195E-2</v>
      </c>
    </row>
    <row r="16" spans="2:11" ht="18" customHeight="1" x14ac:dyDescent="0.35">
      <c r="B16" s="46" t="s">
        <v>139</v>
      </c>
      <c r="C16" s="78">
        <f>SUMPRODUCT((MONTH(Sim_Date)=11)*Sim_Rainfall)</f>
        <v>2</v>
      </c>
      <c r="D16" s="79">
        <f>SUMPRODUCT((MONTH(Sim_Date)=11)*Sim_Collected)</f>
        <v>172.32049999999998</v>
      </c>
      <c r="E16" s="79">
        <f>SUMPRODUCT((MONTH(Sim_Date)=11)*Sim_Demand)</f>
        <v>8100</v>
      </c>
      <c r="F16" s="80">
        <f>SUMPRODUCT((MONTH(Sim_Date)=11)*Sim_Supplied)</f>
        <v>172.32049999999998</v>
      </c>
      <c r="G16" s="81">
        <f>SUMPRODUCT((MONTH(Sim_Date)=11)*Sim_Overflow)</f>
        <v>0</v>
      </c>
      <c r="H16" s="82">
        <f>SUMPRODUCT((MONTH(Sim_Date)=11)*Sim_Shortage)</f>
        <v>7927.6795000000002</v>
      </c>
      <c r="I16" s="79">
        <f>AVERAGEIFS(Sim_FinalLevel,Sim_Date,"&gt;="&amp;DATE(2026,11,1),Sim_Date,"&lt;"&amp;EDATE(DATE(2026,11,1),1))</f>
        <v>200</v>
      </c>
      <c r="J16" s="83">
        <f t="shared" si="0"/>
        <v>0.04</v>
      </c>
      <c r="K16" s="84">
        <f t="shared" si="1"/>
        <v>2.1274135802469132E-2</v>
      </c>
    </row>
    <row r="17" spans="2:11" ht="18" customHeight="1" x14ac:dyDescent="0.35">
      <c r="B17" s="85" t="s">
        <v>140</v>
      </c>
      <c r="C17" s="86">
        <f>SUMPRODUCT((MONTH(Sim_Date)=12)*Sim_Rainfall)</f>
        <v>4</v>
      </c>
      <c r="D17" s="87">
        <f>SUMPRODUCT((MONTH(Sim_Date)=12)*Sim_Collected)</f>
        <v>516.9615</v>
      </c>
      <c r="E17" s="87">
        <f>SUMPRODUCT((MONTH(Sim_Date)=12)*Sim_Demand)</f>
        <v>8370</v>
      </c>
      <c r="F17" s="88">
        <f>SUMPRODUCT((MONTH(Sim_Date)=12)*Sim_Supplied)</f>
        <v>516.9615</v>
      </c>
      <c r="G17" s="89">
        <f>SUMPRODUCT((MONTH(Sim_Date)=12)*Sim_Overflow)</f>
        <v>0</v>
      </c>
      <c r="H17" s="90">
        <f>SUMPRODUCT((MONTH(Sim_Date)=12)*Sim_Shortage)</f>
        <v>7853.0385000000006</v>
      </c>
      <c r="I17" s="87">
        <f>AVERAGEIFS(Sim_FinalLevel,Sim_Date,"&gt;="&amp;DATE(2026,12,1),Sim_Date,"&lt;"&amp;EDATE(DATE(2026,12,1),1))</f>
        <v>207.96649999999997</v>
      </c>
      <c r="J17" s="91">
        <f t="shared" si="0"/>
        <v>4.1593299999999993E-2</v>
      </c>
      <c r="K17" s="92">
        <f t="shared" si="1"/>
        <v>6.1763620071684587E-2</v>
      </c>
    </row>
    <row r="18" spans="2:11" ht="15" customHeight="1" x14ac:dyDescent="0.35">
      <c r="B18" s="48" t="s">
        <v>141</v>
      </c>
      <c r="C18" s="49">
        <f t="shared" ref="C18:H18" si="2">SUM(C6:C17)</f>
        <v>155</v>
      </c>
      <c r="D18" s="93">
        <f t="shared" si="2"/>
        <v>22746.306</v>
      </c>
      <c r="E18" s="93">
        <f t="shared" si="2"/>
        <v>98550</v>
      </c>
      <c r="F18" s="93">
        <f t="shared" si="2"/>
        <v>23546.306000000004</v>
      </c>
      <c r="G18" s="93">
        <f t="shared" si="2"/>
        <v>0</v>
      </c>
      <c r="H18" s="93">
        <f t="shared" si="2"/>
        <v>75003.694000000003</v>
      </c>
      <c r="I18" s="93">
        <f>AVERAGE(I6:I17)</f>
        <v>674.30016832437263</v>
      </c>
      <c r="J18" s="94">
        <f t="shared" si="0"/>
        <v>0.13486003366487453</v>
      </c>
      <c r="K18" s="94">
        <f t="shared" si="1"/>
        <v>0.23892750887874178</v>
      </c>
    </row>
  </sheetData>
  <mergeCells count="2">
    <mergeCell ref="B2:K2"/>
    <mergeCell ref="B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B7A8F"/>
  </sheetPr>
  <dimension ref="B2:E90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328125" defaultRowHeight="14.5" x14ac:dyDescent="0.35"/>
  <cols>
    <col min="1" max="1" width="3" customWidth="1"/>
    <col min="2" max="2" width="4" customWidth="1"/>
    <col min="3" max="3" width="40" customWidth="1"/>
    <col min="4" max="4" width="26" customWidth="1"/>
    <col min="5" max="5" width="50" customWidth="1"/>
    <col min="6" max="6" width="3" customWidth="1"/>
  </cols>
  <sheetData>
    <row r="2" spans="2:5" ht="27.75" customHeight="1" x14ac:dyDescent="0.35">
      <c r="B2" s="11" t="s">
        <v>329</v>
      </c>
      <c r="C2" s="11"/>
      <c r="D2" s="11"/>
      <c r="E2" s="11"/>
    </row>
    <row r="4" spans="2:5" ht="19.5" customHeight="1" x14ac:dyDescent="0.35">
      <c r="B4" s="95" t="s">
        <v>142</v>
      </c>
      <c r="C4" s="6" t="s">
        <v>143</v>
      </c>
      <c r="D4" s="6"/>
      <c r="E4" s="6"/>
    </row>
    <row r="5" spans="2:5" ht="21.75" customHeight="1" x14ac:dyDescent="0.35">
      <c r="B5" s="96"/>
      <c r="C5" s="5" t="s">
        <v>144</v>
      </c>
      <c r="D5" s="5"/>
      <c r="E5" s="5"/>
    </row>
    <row r="6" spans="2:5" ht="15" customHeight="1" x14ac:dyDescent="0.35">
      <c r="C6" s="97" t="s">
        <v>145</v>
      </c>
      <c r="D6" s="4" t="s">
        <v>146</v>
      </c>
      <c r="E6" s="4"/>
    </row>
    <row r="7" spans="2:5" ht="15" customHeight="1" x14ac:dyDescent="0.35">
      <c r="C7" s="97" t="s">
        <v>147</v>
      </c>
      <c r="D7" s="4" t="s">
        <v>148</v>
      </c>
      <c r="E7" s="4"/>
    </row>
    <row r="8" spans="2:5" ht="15" customHeight="1" x14ac:dyDescent="0.35">
      <c r="C8" s="97" t="s">
        <v>149</v>
      </c>
      <c r="D8" s="4" t="s">
        <v>150</v>
      </c>
      <c r="E8" s="4"/>
    </row>
    <row r="9" spans="2:5" ht="15" customHeight="1" x14ac:dyDescent="0.35">
      <c r="C9" s="97" t="s">
        <v>151</v>
      </c>
      <c r="D9" s="4" t="s">
        <v>152</v>
      </c>
      <c r="E9" s="4"/>
    </row>
    <row r="10" spans="2:5" ht="15" customHeight="1" x14ac:dyDescent="0.35">
      <c r="C10" s="97" t="s">
        <v>153</v>
      </c>
      <c r="D10" s="4" t="s">
        <v>154</v>
      </c>
      <c r="E10" s="4"/>
    </row>
    <row r="11" spans="2:5" ht="27.75" customHeight="1" x14ac:dyDescent="0.35">
      <c r="C11" s="7" t="s">
        <v>155</v>
      </c>
      <c r="D11" s="7"/>
      <c r="E11" s="7"/>
    </row>
    <row r="13" spans="2:5" ht="19.5" customHeight="1" x14ac:dyDescent="0.35">
      <c r="B13" s="95" t="s">
        <v>156</v>
      </c>
      <c r="C13" s="6" t="s">
        <v>157</v>
      </c>
      <c r="D13" s="6"/>
      <c r="E13" s="6"/>
    </row>
    <row r="14" spans="2:5" ht="21.75" customHeight="1" x14ac:dyDescent="0.35">
      <c r="B14" s="96"/>
      <c r="C14" s="5" t="s">
        <v>158</v>
      </c>
      <c r="D14" s="5"/>
      <c r="E14" s="5"/>
    </row>
    <row r="15" spans="2:5" ht="15" customHeight="1" x14ac:dyDescent="0.35">
      <c r="C15" s="97" t="s">
        <v>159</v>
      </c>
      <c r="D15" s="4" t="s">
        <v>160</v>
      </c>
      <c r="E15" s="4"/>
    </row>
    <row r="16" spans="2:5" ht="15" customHeight="1" x14ac:dyDescent="0.35">
      <c r="C16" s="97" t="s">
        <v>161</v>
      </c>
      <c r="D16" s="4" t="s">
        <v>162</v>
      </c>
      <c r="E16" s="4"/>
    </row>
    <row r="17" spans="2:5" ht="27.75" customHeight="1" x14ac:dyDescent="0.35">
      <c r="C17" s="7" t="s">
        <v>163</v>
      </c>
      <c r="D17" s="7"/>
      <c r="E17" s="7"/>
    </row>
    <row r="19" spans="2:5" ht="19.5" customHeight="1" x14ac:dyDescent="0.35">
      <c r="B19" s="95" t="s">
        <v>164</v>
      </c>
      <c r="C19" s="6" t="s">
        <v>56</v>
      </c>
      <c r="D19" s="6"/>
      <c r="E19" s="6"/>
    </row>
    <row r="20" spans="2:5" ht="21.75" customHeight="1" x14ac:dyDescent="0.35">
      <c r="B20" s="96"/>
      <c r="C20" s="5" t="s">
        <v>165</v>
      </c>
      <c r="D20" s="5"/>
      <c r="E20" s="5"/>
    </row>
    <row r="21" spans="2:5" ht="15" customHeight="1" x14ac:dyDescent="0.35">
      <c r="C21" s="97" t="s">
        <v>166</v>
      </c>
      <c r="D21" s="4" t="s">
        <v>167</v>
      </c>
      <c r="E21" s="4"/>
    </row>
    <row r="22" spans="2:5" ht="15" customHeight="1" x14ac:dyDescent="0.35">
      <c r="C22" s="97" t="s">
        <v>168</v>
      </c>
      <c r="D22" s="4" t="s">
        <v>169</v>
      </c>
      <c r="E22" s="4"/>
    </row>
    <row r="23" spans="2:5" ht="27.75" customHeight="1" x14ac:dyDescent="0.35">
      <c r="C23" s="7" t="s">
        <v>170</v>
      </c>
      <c r="D23" s="7"/>
      <c r="E23" s="7"/>
    </row>
    <row r="25" spans="2:5" ht="19.5" customHeight="1" x14ac:dyDescent="0.35">
      <c r="B25" s="95" t="s">
        <v>171</v>
      </c>
      <c r="C25" s="6" t="s">
        <v>172</v>
      </c>
      <c r="D25" s="6"/>
      <c r="E25" s="6"/>
    </row>
    <row r="26" spans="2:5" ht="21.75" customHeight="1" x14ac:dyDescent="0.35">
      <c r="B26" s="96"/>
      <c r="C26" s="5" t="s">
        <v>173</v>
      </c>
      <c r="D26" s="5"/>
      <c r="E26" s="5"/>
    </row>
    <row r="27" spans="2:5" ht="15" customHeight="1" x14ac:dyDescent="0.35">
      <c r="C27" s="97" t="s">
        <v>174</v>
      </c>
      <c r="D27" s="4" t="s">
        <v>175</v>
      </c>
      <c r="E27" s="4"/>
    </row>
    <row r="28" spans="2:5" ht="15" customHeight="1" x14ac:dyDescent="0.35">
      <c r="C28" s="97" t="s">
        <v>176</v>
      </c>
      <c r="D28" s="4" t="s">
        <v>177</v>
      </c>
      <c r="E28" s="4"/>
    </row>
    <row r="29" spans="2:5" ht="15" customHeight="1" x14ac:dyDescent="0.35">
      <c r="C29" s="97" t="s">
        <v>178</v>
      </c>
      <c r="D29" s="4" t="s">
        <v>179</v>
      </c>
      <c r="E29" s="4"/>
    </row>
    <row r="30" spans="2:5" ht="15" customHeight="1" x14ac:dyDescent="0.35">
      <c r="C30" s="97" t="s">
        <v>180</v>
      </c>
      <c r="D30" s="4" t="s">
        <v>181</v>
      </c>
      <c r="E30" s="4"/>
    </row>
    <row r="31" spans="2:5" ht="27.75" customHeight="1" x14ac:dyDescent="0.35">
      <c r="C31" s="7" t="s">
        <v>182</v>
      </c>
      <c r="D31" s="7"/>
      <c r="E31" s="7"/>
    </row>
    <row r="33" spans="2:5" ht="19.5" customHeight="1" x14ac:dyDescent="0.35">
      <c r="B33" s="95" t="s">
        <v>183</v>
      </c>
      <c r="C33" s="6" t="s">
        <v>184</v>
      </c>
      <c r="D33" s="6"/>
      <c r="E33" s="6"/>
    </row>
    <row r="34" spans="2:5" ht="21.75" customHeight="1" x14ac:dyDescent="0.35">
      <c r="B34" s="96"/>
      <c r="C34" s="5" t="s">
        <v>185</v>
      </c>
      <c r="D34" s="5"/>
      <c r="E34" s="5"/>
    </row>
    <row r="35" spans="2:5" ht="15" customHeight="1" x14ac:dyDescent="0.35">
      <c r="C35" s="97" t="s">
        <v>186</v>
      </c>
      <c r="D35" s="4" t="s">
        <v>187</v>
      </c>
      <c r="E35" s="4"/>
    </row>
    <row r="36" spans="2:5" ht="15" customHeight="1" x14ac:dyDescent="0.35">
      <c r="C36" s="97" t="s">
        <v>188</v>
      </c>
      <c r="D36" s="4" t="s">
        <v>189</v>
      </c>
      <c r="E36" s="4"/>
    </row>
    <row r="37" spans="2:5" ht="27.75" customHeight="1" x14ac:dyDescent="0.35">
      <c r="C37" s="7" t="s">
        <v>190</v>
      </c>
      <c r="D37" s="7"/>
      <c r="E37" s="7"/>
    </row>
    <row r="39" spans="2:5" ht="19.5" customHeight="1" x14ac:dyDescent="0.35">
      <c r="B39" s="95" t="s">
        <v>191</v>
      </c>
      <c r="C39" s="6" t="s">
        <v>192</v>
      </c>
      <c r="D39" s="6"/>
      <c r="E39" s="6"/>
    </row>
    <row r="40" spans="2:5" ht="21.75" customHeight="1" x14ac:dyDescent="0.35">
      <c r="B40" s="96"/>
      <c r="C40" s="5" t="s">
        <v>193</v>
      </c>
      <c r="D40" s="5"/>
      <c r="E40" s="5"/>
    </row>
    <row r="41" spans="2:5" ht="27.75" customHeight="1" x14ac:dyDescent="0.35">
      <c r="C41" s="7" t="s">
        <v>194</v>
      </c>
      <c r="D41" s="7"/>
      <c r="E41" s="7"/>
    </row>
    <row r="43" spans="2:5" ht="19.5" customHeight="1" x14ac:dyDescent="0.35">
      <c r="B43" s="95" t="s">
        <v>195</v>
      </c>
      <c r="C43" s="6" t="s">
        <v>196</v>
      </c>
      <c r="D43" s="6"/>
      <c r="E43" s="6"/>
    </row>
    <row r="44" spans="2:5" ht="21.75" customHeight="1" x14ac:dyDescent="0.35">
      <c r="B44" s="96"/>
      <c r="C44" s="5" t="s">
        <v>197</v>
      </c>
      <c r="D44" s="5"/>
      <c r="E44" s="5"/>
    </row>
    <row r="45" spans="2:5" ht="27.75" customHeight="1" x14ac:dyDescent="0.35">
      <c r="C45" s="7" t="s">
        <v>198</v>
      </c>
      <c r="D45" s="7"/>
      <c r="E45" s="7"/>
    </row>
    <row r="47" spans="2:5" ht="19.5" customHeight="1" x14ac:dyDescent="0.35">
      <c r="B47" s="95" t="s">
        <v>199</v>
      </c>
      <c r="C47" s="6" t="s">
        <v>200</v>
      </c>
      <c r="D47" s="6"/>
      <c r="E47" s="6"/>
    </row>
    <row r="48" spans="2:5" ht="21.75" customHeight="1" x14ac:dyDescent="0.35">
      <c r="B48" s="96"/>
      <c r="C48" s="5" t="s">
        <v>201</v>
      </c>
      <c r="D48" s="5"/>
      <c r="E48" s="5"/>
    </row>
    <row r="49" spans="2:5" ht="27.75" customHeight="1" x14ac:dyDescent="0.35">
      <c r="C49" s="7" t="s">
        <v>202</v>
      </c>
      <c r="D49" s="7"/>
      <c r="E49" s="7"/>
    </row>
    <row r="51" spans="2:5" ht="19.5" customHeight="1" x14ac:dyDescent="0.35">
      <c r="B51" s="95" t="s">
        <v>203</v>
      </c>
      <c r="C51" s="6" t="s">
        <v>11</v>
      </c>
      <c r="D51" s="6"/>
      <c r="E51" s="6"/>
    </row>
    <row r="52" spans="2:5" ht="21.75" customHeight="1" x14ac:dyDescent="0.35">
      <c r="B52" s="96"/>
      <c r="C52" s="5" t="s">
        <v>204</v>
      </c>
      <c r="D52" s="5"/>
      <c r="E52" s="5"/>
    </row>
    <row r="53" spans="2:5" ht="15" customHeight="1" x14ac:dyDescent="0.35">
      <c r="C53" s="97" t="s">
        <v>205</v>
      </c>
      <c r="D53" s="4" t="s">
        <v>206</v>
      </c>
      <c r="E53" s="4"/>
    </row>
    <row r="54" spans="2:5" ht="27.75" customHeight="1" x14ac:dyDescent="0.35">
      <c r="C54" s="7" t="s">
        <v>207</v>
      </c>
      <c r="D54" s="7"/>
      <c r="E54" s="7"/>
    </row>
    <row r="56" spans="2:5" ht="19.5" customHeight="1" x14ac:dyDescent="0.35">
      <c r="B56" s="95" t="s">
        <v>208</v>
      </c>
      <c r="C56" s="6" t="s">
        <v>209</v>
      </c>
      <c r="D56" s="6"/>
      <c r="E56" s="6"/>
    </row>
    <row r="57" spans="2:5" ht="21.75" customHeight="1" x14ac:dyDescent="0.35">
      <c r="B57" s="96"/>
      <c r="C57" s="5" t="s">
        <v>210</v>
      </c>
      <c r="D57" s="5"/>
      <c r="E57" s="5"/>
    </row>
    <row r="58" spans="2:5" ht="27.75" customHeight="1" x14ac:dyDescent="0.35">
      <c r="C58" s="7" t="s">
        <v>211</v>
      </c>
      <c r="D58" s="7"/>
      <c r="E58" s="7"/>
    </row>
    <row r="60" spans="2:5" ht="19.5" customHeight="1" x14ac:dyDescent="0.35">
      <c r="B60" s="95" t="s">
        <v>212</v>
      </c>
      <c r="C60" s="6" t="s">
        <v>213</v>
      </c>
      <c r="D60" s="6"/>
      <c r="E60" s="6"/>
    </row>
    <row r="61" spans="2:5" ht="21.75" customHeight="1" x14ac:dyDescent="0.35">
      <c r="B61" s="96"/>
      <c r="C61" s="5" t="s">
        <v>214</v>
      </c>
      <c r="D61" s="5"/>
      <c r="E61" s="5"/>
    </row>
    <row r="62" spans="2:5" ht="27.75" customHeight="1" x14ac:dyDescent="0.35">
      <c r="C62" s="7" t="s">
        <v>215</v>
      </c>
      <c r="D62" s="7"/>
      <c r="E62" s="7"/>
    </row>
    <row r="66" spans="2:5" ht="24" customHeight="1" x14ac:dyDescent="0.35">
      <c r="B66" s="11" t="s">
        <v>216</v>
      </c>
      <c r="C66" s="11"/>
      <c r="D66" s="11"/>
      <c r="E66" s="11"/>
    </row>
    <row r="68" spans="2:5" ht="15" customHeight="1" x14ac:dyDescent="0.35">
      <c r="B68" s="98" t="s">
        <v>217</v>
      </c>
      <c r="C68" s="3" t="s">
        <v>218</v>
      </c>
      <c r="D68" s="3"/>
      <c r="E68" s="3"/>
    </row>
    <row r="69" spans="2:5" ht="25.5" customHeight="1" x14ac:dyDescent="0.35">
      <c r="C69" s="7" t="s">
        <v>219</v>
      </c>
      <c r="D69" s="7"/>
      <c r="E69" s="7"/>
    </row>
    <row r="71" spans="2:5" ht="15" customHeight="1" x14ac:dyDescent="0.35">
      <c r="B71" s="98" t="s">
        <v>220</v>
      </c>
      <c r="C71" s="3" t="s">
        <v>221</v>
      </c>
      <c r="D71" s="3"/>
      <c r="E71" s="3"/>
    </row>
    <row r="72" spans="2:5" ht="25.5" customHeight="1" x14ac:dyDescent="0.35">
      <c r="C72" s="7" t="s">
        <v>222</v>
      </c>
      <c r="D72" s="7"/>
      <c r="E72" s="7"/>
    </row>
    <row r="74" spans="2:5" ht="15" customHeight="1" x14ac:dyDescent="0.35">
      <c r="B74" s="98" t="s">
        <v>223</v>
      </c>
      <c r="C74" s="3" t="s">
        <v>224</v>
      </c>
      <c r="D74" s="3"/>
      <c r="E74" s="3"/>
    </row>
    <row r="75" spans="2:5" ht="25.5" customHeight="1" x14ac:dyDescent="0.35">
      <c r="C75" s="7" t="s">
        <v>225</v>
      </c>
      <c r="D75" s="7"/>
      <c r="E75" s="7"/>
    </row>
    <row r="77" spans="2:5" ht="15" customHeight="1" x14ac:dyDescent="0.35">
      <c r="B77" s="98" t="s">
        <v>226</v>
      </c>
      <c r="C77" s="3" t="s">
        <v>227</v>
      </c>
      <c r="D77" s="3"/>
      <c r="E77" s="3"/>
    </row>
    <row r="78" spans="2:5" ht="25.5" customHeight="1" x14ac:dyDescent="0.35">
      <c r="C78" s="7" t="s">
        <v>228</v>
      </c>
      <c r="D78" s="7"/>
      <c r="E78" s="7"/>
    </row>
    <row r="80" spans="2:5" ht="15" customHeight="1" x14ac:dyDescent="0.35">
      <c r="B80" s="98" t="s">
        <v>229</v>
      </c>
      <c r="C80" s="3" t="s">
        <v>230</v>
      </c>
      <c r="D80" s="3"/>
      <c r="E80" s="3"/>
    </row>
    <row r="81" spans="2:5" ht="25.5" customHeight="1" x14ac:dyDescent="0.35">
      <c r="C81" s="7" t="s">
        <v>231</v>
      </c>
      <c r="D81" s="7"/>
      <c r="E81" s="7"/>
    </row>
    <row r="83" spans="2:5" ht="15" customHeight="1" x14ac:dyDescent="0.35">
      <c r="B83" s="98" t="s">
        <v>232</v>
      </c>
      <c r="C83" s="3" t="s">
        <v>233</v>
      </c>
      <c r="D83" s="3"/>
      <c r="E83" s="3"/>
    </row>
    <row r="84" spans="2:5" ht="25.5" customHeight="1" x14ac:dyDescent="0.35">
      <c r="C84" s="7" t="s">
        <v>234</v>
      </c>
      <c r="D84" s="7"/>
      <c r="E84" s="7"/>
    </row>
    <row r="86" spans="2:5" ht="15" customHeight="1" x14ac:dyDescent="0.35">
      <c r="B86" s="98" t="s">
        <v>235</v>
      </c>
      <c r="C86" s="3" t="s">
        <v>236</v>
      </c>
      <c r="D86" s="3"/>
      <c r="E86" s="3"/>
    </row>
    <row r="87" spans="2:5" ht="25.5" customHeight="1" x14ac:dyDescent="0.35">
      <c r="C87" s="7" t="s">
        <v>237</v>
      </c>
      <c r="D87" s="7"/>
      <c r="E87" s="7"/>
    </row>
    <row r="89" spans="2:5" ht="15" customHeight="1" x14ac:dyDescent="0.35">
      <c r="B89" s="98" t="s">
        <v>238</v>
      </c>
      <c r="C89" s="3" t="s">
        <v>239</v>
      </c>
      <c r="D89" s="3"/>
      <c r="E89" s="3"/>
    </row>
    <row r="90" spans="2:5" ht="25.5" customHeight="1" x14ac:dyDescent="0.35">
      <c r="C90" s="7" t="s">
        <v>240</v>
      </c>
      <c r="D90" s="7"/>
      <c r="E90" s="7"/>
    </row>
  </sheetData>
  <mergeCells count="67">
    <mergeCell ref="C89:E89"/>
    <mergeCell ref="C90:E90"/>
    <mergeCell ref="C81:E81"/>
    <mergeCell ref="C83:E83"/>
    <mergeCell ref="C84:E84"/>
    <mergeCell ref="C86:E86"/>
    <mergeCell ref="C87:E87"/>
    <mergeCell ref="C74:E74"/>
    <mergeCell ref="C75:E75"/>
    <mergeCell ref="C77:E77"/>
    <mergeCell ref="C78:E78"/>
    <mergeCell ref="C80:E80"/>
    <mergeCell ref="B66:E66"/>
    <mergeCell ref="C68:E68"/>
    <mergeCell ref="C69:E69"/>
    <mergeCell ref="C71:E71"/>
    <mergeCell ref="C72:E72"/>
    <mergeCell ref="C57:E57"/>
    <mergeCell ref="C58:E58"/>
    <mergeCell ref="C60:E60"/>
    <mergeCell ref="C61:E61"/>
    <mergeCell ref="C62:E62"/>
    <mergeCell ref="C51:E51"/>
    <mergeCell ref="C52:E52"/>
    <mergeCell ref="D53:E53"/>
    <mergeCell ref="C54:E54"/>
    <mergeCell ref="C56:E56"/>
    <mergeCell ref="C44:E44"/>
    <mergeCell ref="C45:E45"/>
    <mergeCell ref="C47:E47"/>
    <mergeCell ref="C48:E48"/>
    <mergeCell ref="C49:E49"/>
    <mergeCell ref="C37:E37"/>
    <mergeCell ref="C39:E39"/>
    <mergeCell ref="C40:E40"/>
    <mergeCell ref="C41:E41"/>
    <mergeCell ref="C43:E43"/>
    <mergeCell ref="C31:E31"/>
    <mergeCell ref="C33:E33"/>
    <mergeCell ref="C34:E34"/>
    <mergeCell ref="D35:E35"/>
    <mergeCell ref="D36:E36"/>
    <mergeCell ref="C26:E26"/>
    <mergeCell ref="D27:E27"/>
    <mergeCell ref="D28:E28"/>
    <mergeCell ref="D29:E29"/>
    <mergeCell ref="D30:E30"/>
    <mergeCell ref="C20:E20"/>
    <mergeCell ref="D21:E21"/>
    <mergeCell ref="D22:E22"/>
    <mergeCell ref="C23:E23"/>
    <mergeCell ref="C25:E25"/>
    <mergeCell ref="C14:E14"/>
    <mergeCell ref="D15:E15"/>
    <mergeCell ref="D16:E16"/>
    <mergeCell ref="C17:E17"/>
    <mergeCell ref="C19:E19"/>
    <mergeCell ref="D8:E8"/>
    <mergeCell ref="D9:E9"/>
    <mergeCell ref="D10:E10"/>
    <mergeCell ref="C11:E11"/>
    <mergeCell ref="C13:E13"/>
    <mergeCell ref="B2:E2"/>
    <mergeCell ref="C4:E4"/>
    <mergeCell ref="C5:E5"/>
    <mergeCell ref="D6:E6"/>
    <mergeCell ref="D7:E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E7A5C"/>
  </sheetPr>
  <dimension ref="B2:X55"/>
  <sheetViews>
    <sheetView showGridLines="0" zoomScaleNormal="100" workbookViewId="0"/>
  </sheetViews>
  <sheetFormatPr defaultColWidth="8.6328125" defaultRowHeight="14.5" x14ac:dyDescent="0.35"/>
  <cols>
    <col min="1" max="1" width="3" customWidth="1"/>
    <col min="2" max="2" width="26" customWidth="1"/>
    <col min="3" max="3" width="16" customWidth="1"/>
    <col min="4" max="4" width="40" customWidth="1"/>
    <col min="5" max="5" width="3" customWidth="1"/>
    <col min="6" max="6" width="14" customWidth="1"/>
    <col min="7" max="9" width="16" customWidth="1"/>
    <col min="10" max="10" width="3" customWidth="1"/>
    <col min="13" max="24" width="13" hidden="1" customWidth="1"/>
  </cols>
  <sheetData>
    <row r="2" spans="2:9" ht="27.75" customHeight="1" x14ac:dyDescent="0.35">
      <c r="B2" s="11" t="s">
        <v>330</v>
      </c>
      <c r="C2" s="11"/>
      <c r="D2" s="11"/>
      <c r="E2" s="11"/>
      <c r="F2" s="11"/>
      <c r="G2" s="11"/>
      <c r="H2" s="11"/>
      <c r="I2" s="11"/>
    </row>
    <row r="4" spans="2:9" ht="15" customHeight="1" x14ac:dyDescent="0.35">
      <c r="B4" s="34" t="s">
        <v>241</v>
      </c>
    </row>
    <row r="5" spans="2:9" ht="19.5" customHeight="1" x14ac:dyDescent="0.35">
      <c r="B5" s="2" t="s">
        <v>242</v>
      </c>
      <c r="C5" s="2"/>
      <c r="D5" s="2"/>
      <c r="E5" s="2"/>
      <c r="F5" s="2"/>
      <c r="G5" s="2"/>
      <c r="H5" s="2"/>
      <c r="I5" s="2"/>
    </row>
    <row r="7" spans="2:9" ht="15" customHeight="1" x14ac:dyDescent="0.35">
      <c r="B7" s="34" t="s">
        <v>331</v>
      </c>
    </row>
    <row r="8" spans="2:9" ht="15.75" customHeight="1" x14ac:dyDescent="0.35">
      <c r="B8" s="1" t="s">
        <v>243</v>
      </c>
      <c r="C8" s="1"/>
      <c r="D8" s="1"/>
      <c r="E8" s="1"/>
      <c r="F8" s="1"/>
      <c r="G8" s="1"/>
      <c r="H8" s="1"/>
      <c r="I8" s="1"/>
    </row>
    <row r="9" spans="2:9" ht="15.75" customHeight="1" x14ac:dyDescent="0.35">
      <c r="B9" s="1" t="s">
        <v>244</v>
      </c>
      <c r="C9" s="1"/>
      <c r="D9" s="1"/>
      <c r="E9" s="1"/>
      <c r="F9" s="1"/>
      <c r="G9" s="1"/>
      <c r="H9" s="1"/>
      <c r="I9" s="1"/>
    </row>
    <row r="10" spans="2:9" ht="15.75" customHeight="1" x14ac:dyDescent="0.35">
      <c r="B10" s="1" t="s">
        <v>245</v>
      </c>
      <c r="C10" s="1"/>
      <c r="D10" s="1"/>
      <c r="E10" s="1"/>
      <c r="F10" s="1"/>
      <c r="G10" s="1"/>
      <c r="H10" s="1"/>
      <c r="I10" s="1"/>
    </row>
    <row r="11" spans="2:9" ht="15.75" customHeight="1" x14ac:dyDescent="0.35">
      <c r="B11" s="1" t="s">
        <v>246</v>
      </c>
      <c r="C11" s="1"/>
      <c r="D11" s="1"/>
      <c r="E11" s="1"/>
      <c r="F11" s="1"/>
      <c r="G11" s="1"/>
      <c r="H11" s="1"/>
      <c r="I11" s="1"/>
    </row>
    <row r="12" spans="2:9" ht="15.75" customHeight="1" x14ac:dyDescent="0.35">
      <c r="B12" s="1" t="s">
        <v>247</v>
      </c>
      <c r="C12" s="1"/>
      <c r="D12" s="1"/>
      <c r="E12" s="1"/>
      <c r="F12" s="1"/>
      <c r="G12" s="1"/>
      <c r="H12" s="1"/>
      <c r="I12" s="1"/>
    </row>
    <row r="13" spans="2:9" ht="15.75" customHeight="1" x14ac:dyDescent="0.35">
      <c r="B13" s="1" t="s">
        <v>248</v>
      </c>
      <c r="C13" s="1"/>
      <c r="D13" s="1"/>
      <c r="E13" s="1"/>
      <c r="F13" s="1"/>
      <c r="G13" s="1"/>
      <c r="H13" s="1"/>
      <c r="I13" s="1"/>
    </row>
    <row r="14" spans="2:9" ht="15.75" customHeight="1" x14ac:dyDescent="0.35">
      <c r="B14" s="1" t="s">
        <v>332</v>
      </c>
      <c r="C14" s="1"/>
      <c r="D14" s="1"/>
      <c r="E14" s="1"/>
      <c r="F14" s="1"/>
      <c r="G14" s="1"/>
      <c r="H14" s="1"/>
      <c r="I14" s="1"/>
    </row>
    <row r="15" spans="2:9" ht="15.75" customHeight="1" x14ac:dyDescent="0.35">
      <c r="B15" s="1" t="s">
        <v>249</v>
      </c>
      <c r="C15" s="1"/>
      <c r="D15" s="1"/>
      <c r="E15" s="1"/>
      <c r="F15" s="1"/>
      <c r="G15" s="1"/>
      <c r="H15" s="1"/>
      <c r="I15" s="1"/>
    </row>
    <row r="16" spans="2:9" ht="15.75" customHeight="1" x14ac:dyDescent="0.35">
      <c r="B16" s="1" t="s">
        <v>250</v>
      </c>
      <c r="C16" s="1"/>
      <c r="D16" s="1"/>
      <c r="E16" s="1"/>
      <c r="F16" s="1"/>
      <c r="G16" s="1"/>
      <c r="H16" s="1"/>
      <c r="I16" s="1"/>
    </row>
    <row r="17" spans="2:9" ht="15.75" customHeight="1" x14ac:dyDescent="0.35">
      <c r="B17" s="1" t="s">
        <v>251</v>
      </c>
      <c r="C17" s="1"/>
      <c r="D17" s="1"/>
      <c r="E17" s="1"/>
      <c r="F17" s="1"/>
      <c r="G17" s="1"/>
      <c r="H17" s="1"/>
      <c r="I17" s="1"/>
    </row>
    <row r="18" spans="2:9" ht="15.75" customHeight="1" x14ac:dyDescent="0.35">
      <c r="B18" s="1" t="s">
        <v>252</v>
      </c>
      <c r="C18" s="1"/>
      <c r="D18" s="1"/>
      <c r="E18" s="1"/>
      <c r="F18" s="1"/>
      <c r="G18" s="1"/>
      <c r="H18" s="1"/>
      <c r="I18" s="1"/>
    </row>
    <row r="19" spans="2:9" ht="15.75" customHeight="1" x14ac:dyDescent="0.35">
      <c r="B19" s="1" t="s">
        <v>333</v>
      </c>
      <c r="C19" s="1"/>
      <c r="D19" s="1"/>
      <c r="E19" s="1"/>
      <c r="F19" s="1"/>
      <c r="G19" s="1"/>
      <c r="H19" s="1"/>
      <c r="I19" s="1"/>
    </row>
    <row r="21" spans="2:9" ht="39.75" customHeight="1" x14ac:dyDescent="0.35">
      <c r="B21" s="7" t="s">
        <v>253</v>
      </c>
      <c r="C21" s="7"/>
      <c r="D21" s="7"/>
      <c r="E21" s="7"/>
      <c r="F21" s="7"/>
      <c r="G21" s="7"/>
      <c r="H21" s="7"/>
      <c r="I21" s="7"/>
    </row>
    <row r="23" spans="2:9" ht="15" customHeight="1" x14ac:dyDescent="0.35">
      <c r="B23" s="34" t="s">
        <v>254</v>
      </c>
    </row>
    <row r="24" spans="2:9" ht="15" customHeight="1" x14ac:dyDescent="0.35">
      <c r="B24" s="99" t="s">
        <v>255</v>
      </c>
      <c r="C24" s="99" t="s">
        <v>256</v>
      </c>
      <c r="D24" s="99" t="s">
        <v>257</v>
      </c>
      <c r="E24" s="99" t="s">
        <v>258</v>
      </c>
    </row>
    <row r="25" spans="2:9" ht="15" customHeight="1" x14ac:dyDescent="0.35">
      <c r="B25" s="100" t="s">
        <v>259</v>
      </c>
      <c r="C25" s="101" t="s">
        <v>260</v>
      </c>
      <c r="D25" s="101" t="s">
        <v>261</v>
      </c>
      <c r="E25" s="100" t="s">
        <v>262</v>
      </c>
    </row>
    <row r="26" spans="2:9" ht="15" customHeight="1" x14ac:dyDescent="0.35">
      <c r="B26" s="100" t="s">
        <v>263</v>
      </c>
      <c r="C26" s="101" t="s">
        <v>260</v>
      </c>
      <c r="D26" s="101" t="s">
        <v>264</v>
      </c>
      <c r="E26" s="100" t="s">
        <v>265</v>
      </c>
    </row>
    <row r="27" spans="2:9" ht="15" customHeight="1" x14ac:dyDescent="0.35">
      <c r="B27" s="100" t="s">
        <v>266</v>
      </c>
      <c r="C27" s="101" t="s">
        <v>267</v>
      </c>
      <c r="D27" s="101" t="s">
        <v>264</v>
      </c>
      <c r="E27" s="100" t="s">
        <v>268</v>
      </c>
    </row>
    <row r="28" spans="2:9" ht="15" customHeight="1" x14ac:dyDescent="0.35">
      <c r="B28" s="100" t="s">
        <v>269</v>
      </c>
      <c r="C28" s="101" t="s">
        <v>267</v>
      </c>
      <c r="D28" s="101" t="s">
        <v>261</v>
      </c>
      <c r="E28" s="100" t="s">
        <v>270</v>
      </c>
    </row>
    <row r="30" spans="2:9" ht="21.75" customHeight="1" x14ac:dyDescent="0.35">
      <c r="B30" s="11" t="s">
        <v>334</v>
      </c>
      <c r="C30" s="11"/>
      <c r="D30" s="11"/>
      <c r="E30" s="11"/>
      <c r="F30" s="11"/>
      <c r="G30" s="11"/>
      <c r="H30" s="11"/>
      <c r="I30" s="11"/>
    </row>
    <row r="31" spans="2:9" ht="24" customHeight="1" x14ac:dyDescent="0.35">
      <c r="B31" s="8" t="s">
        <v>271</v>
      </c>
      <c r="C31" s="8"/>
      <c r="D31" s="8"/>
      <c r="E31" s="8"/>
      <c r="F31" s="8"/>
      <c r="G31" s="8"/>
      <c r="H31" s="8"/>
      <c r="I31" s="8"/>
    </row>
    <row r="33" spans="2:24" ht="30" customHeight="1" x14ac:dyDescent="0.35">
      <c r="B33" s="51" t="s">
        <v>272</v>
      </c>
      <c r="C33" s="51" t="s">
        <v>273</v>
      </c>
      <c r="D33" s="51" t="s">
        <v>274</v>
      </c>
      <c r="E33" s="51" t="s">
        <v>275</v>
      </c>
      <c r="F33" s="51" t="s">
        <v>276</v>
      </c>
      <c r="G33" s="51" t="s">
        <v>277</v>
      </c>
    </row>
    <row r="34" spans="2:24" ht="15" customHeight="1" x14ac:dyDescent="0.35">
      <c r="B34" s="102">
        <v>500</v>
      </c>
      <c r="C34" s="103">
        <f>MIN(DailyDemand_L*INDEX('Rainfall Data'!$E$15:$E$26,1),MAX(TankInitial_L+INDEX(ActiveMonthlyRain,1)*RoofArea_m2*CollectionEff-DeadStorage_L,0))+MIN(DailyDemand_L*INDEX('Rainfall Data'!$E$15:$E$26,2),MAX(M34+INDEX(ActiveMonthlyRain,2)*RoofArea_m2*CollectionEff-DeadStorage_L,0))+MIN(DailyDemand_L*INDEX('Rainfall Data'!$E$15:$E$26,3),MAX(N34+INDEX(ActiveMonthlyRain,3)*RoofArea_m2*CollectionEff-DeadStorage_L,0))+MIN(DailyDemand_L*INDEX('Rainfall Data'!$E$15:$E$26,4),MAX(O34+INDEX(ActiveMonthlyRain,4)*RoofArea_m2*CollectionEff-DeadStorage_L,0))+MIN(DailyDemand_L*INDEX('Rainfall Data'!$E$15:$E$26,5),MAX(P34+INDEX(ActiveMonthlyRain,5)*RoofArea_m2*CollectionEff-DeadStorage_L,0))+MIN(DailyDemand_L*INDEX('Rainfall Data'!$E$15:$E$26,6),MAX(Q34+INDEX(ActiveMonthlyRain,6)*RoofArea_m2*CollectionEff-DeadStorage_L,0))+MIN(DailyDemand_L*INDEX('Rainfall Data'!$E$15:$E$26,7),MAX(R34+INDEX(ActiveMonthlyRain,7)*RoofArea_m2*CollectionEff-DeadStorage_L,0))+MIN(DailyDemand_L*INDEX('Rainfall Data'!$E$15:$E$26,8),MAX(S34+INDEX(ActiveMonthlyRain,8)*RoofArea_m2*CollectionEff-DeadStorage_L,0))+MIN(DailyDemand_L*INDEX('Rainfall Data'!$E$15:$E$26,9),MAX(T34+INDEX(ActiveMonthlyRain,9)*RoofArea_m2*CollectionEff-DeadStorage_L,0))+MIN(DailyDemand_L*INDEX('Rainfall Data'!$E$15:$E$26,10),MAX(U34+INDEX(ActiveMonthlyRain,10)*RoofArea_m2*CollectionEff-DeadStorage_L,0))+MIN(DailyDemand_L*INDEX('Rainfall Data'!$E$15:$E$26,11),MAX(V34+INDEX(ActiveMonthlyRain,11)*RoofArea_m2*CollectionEff-DeadStorage_L,0))+MIN(DailyDemand_L*INDEX('Rainfall Data'!$E$15:$E$26,12),MAX(W34+INDEX(ActiveMonthlyRain,12)*RoofArea_m2*CollectionEff-DeadStorage_L,0))</f>
        <v>22326.576499999999</v>
      </c>
      <c r="D34" s="104">
        <f>MAX(TankInitial_L+INDEX(ActiveMonthlyRain,1)*RoofArea_m2*CollectionEff-MIN(DailyDemand_L*INDEX('Rainfall Data'!$E$15:$E$26,1),MAX(TankInitial_L+INDEX(ActiveMonthlyRain,1)*RoofArea_m2*CollectionEff-DeadStorage_L,0))-$B34,0)+MAX(M34+INDEX(ActiveMonthlyRain,2)*RoofArea_m2*CollectionEff-MIN(DailyDemand_L*INDEX('Rainfall Data'!$E$15:$E$26,2),MAX(M34+INDEX(ActiveMonthlyRain,2)*RoofArea_m2*CollectionEff-DeadStorage_L,0))-$B34,0)+MAX(N34+INDEX(ActiveMonthlyRain,3)*RoofArea_m2*CollectionEff-MIN(DailyDemand_L*INDEX('Rainfall Data'!$E$15:$E$26,3),MAX(N34+INDEX(ActiveMonthlyRain,3)*RoofArea_m2*CollectionEff-DeadStorage_L,0))-$B34,0)+MAX(O34+INDEX(ActiveMonthlyRain,4)*RoofArea_m2*CollectionEff-MIN(DailyDemand_L*INDEX('Rainfall Data'!$E$15:$E$26,4),MAX(O34+INDEX(ActiveMonthlyRain,4)*RoofArea_m2*CollectionEff-DeadStorage_L,0))-$B34,0)+MAX(P34+INDEX(ActiveMonthlyRain,5)*RoofArea_m2*CollectionEff-MIN(DailyDemand_L*INDEX('Rainfall Data'!$E$15:$E$26,5),MAX(P34+INDEX(ActiveMonthlyRain,5)*RoofArea_m2*CollectionEff-DeadStorage_L,0))-$B34,0)+MAX(Q34+INDEX(ActiveMonthlyRain,6)*RoofArea_m2*CollectionEff-MIN(DailyDemand_L*INDEX('Rainfall Data'!$E$15:$E$26,6),MAX(Q34+INDEX(ActiveMonthlyRain,6)*RoofArea_m2*CollectionEff-DeadStorage_L,0))-$B34,0)+MAX(R34+INDEX(ActiveMonthlyRain,7)*RoofArea_m2*CollectionEff-MIN(DailyDemand_L*INDEX('Rainfall Data'!$E$15:$E$26,7),MAX(R34+INDEX(ActiveMonthlyRain,7)*RoofArea_m2*CollectionEff-DeadStorage_L,0))-$B34,0)+MAX(S34+INDEX(ActiveMonthlyRain,8)*RoofArea_m2*CollectionEff-MIN(DailyDemand_L*INDEX('Rainfall Data'!$E$15:$E$26,8),MAX(S34+INDEX(ActiveMonthlyRain,8)*RoofArea_m2*CollectionEff-DeadStorage_L,0))-$B34,0)+MAX(T34+INDEX(ActiveMonthlyRain,9)*RoofArea_m2*CollectionEff-MIN(DailyDemand_L*INDEX('Rainfall Data'!$E$15:$E$26,9),MAX(T34+INDEX(ActiveMonthlyRain,9)*RoofArea_m2*CollectionEff-DeadStorage_L,0))-$B34,0)+MAX(U34+INDEX(ActiveMonthlyRain,10)*RoofArea_m2*CollectionEff-MIN(DailyDemand_L*INDEX('Rainfall Data'!$E$15:$E$26,10),MAX(U34+INDEX(ActiveMonthlyRain,10)*RoofArea_m2*CollectionEff-DeadStorage_L,0))-$B34,0)+MAX(V34+INDEX(ActiveMonthlyRain,11)*RoofArea_m2*CollectionEff-MIN(DailyDemand_L*INDEX('Rainfall Data'!$E$15:$E$26,11),MAX(V34+INDEX(ActiveMonthlyRain,11)*RoofArea_m2*CollectionEff-DeadStorage_L,0))-$B34,0)+MAX(W34+INDEX(ActiveMonthlyRain,12)*RoofArea_m2*CollectionEff-MIN(DailyDemand_L*INDEX('Rainfall Data'!$E$15:$E$26,12),MAX(W34+INDEX(ActiveMonthlyRain,12)*RoofArea_m2*CollectionEff-DeadStorage_L,0))-$B34,0)</f>
        <v>3783.1009999999987</v>
      </c>
      <c r="E34" s="105">
        <f>SUMPRODUCT(DailyDemand_L*'Rainfall Data'!$E$15:$E$26)-C34</f>
        <v>76223.423500000004</v>
      </c>
      <c r="F34" s="106">
        <f>C34/SUMPRODUCT(DailyDemand_L*'Rainfall Data'!$E$15:$E$26)</f>
        <v>0.22655075088787416</v>
      </c>
      <c r="M34" s="107">
        <f>MIN(MAX(TankInitial_L+INDEX(ActiveMonthlyRain,1)*RoofArea_m2*CollectionEff-DailyDemand_L*INDEX('Rainfall Data'!$E$15:$E$26,1),0),$B34)</f>
        <v>0</v>
      </c>
      <c r="N34" s="107">
        <f>MIN(MAX(M34+INDEX(ActiveMonthlyRain,2)*RoofArea_m2*CollectionEff-DailyDemand_L*INDEX('Rainfall Data'!$E$15:$E$26,2),0),$B34)</f>
        <v>0</v>
      </c>
      <c r="O34" s="107">
        <f>MIN(MAX(N34+INDEX(ActiveMonthlyRain,3)*RoofArea_m2*CollectionEff-DailyDemand_L*INDEX('Rainfall Data'!$E$15:$E$26,3),0),$B34)</f>
        <v>0</v>
      </c>
      <c r="P34" s="107">
        <f>MIN(MAX(O34+INDEX(ActiveMonthlyRain,4)*RoofArea_m2*CollectionEff-DailyDemand_L*INDEX('Rainfall Data'!$E$15:$E$26,4),0),$B34)</f>
        <v>0</v>
      </c>
      <c r="Q34" s="107">
        <f>MIN(MAX(P34+INDEX(ActiveMonthlyRain,5)*RoofArea_m2*CollectionEff-DailyDemand_L*INDEX('Rainfall Data'!$E$15:$E$26,5),0),$B34)</f>
        <v>0</v>
      </c>
      <c r="R34" s="107">
        <f>MIN(MAX(Q34+INDEX(ActiveMonthlyRain,6)*RoofArea_m2*CollectionEff-DailyDemand_L*INDEX('Rainfall Data'!$E$15:$E$26,6),0),$B34)</f>
        <v>0</v>
      </c>
      <c r="S34" s="107">
        <f>MIN(MAX(R34+INDEX(ActiveMonthlyRain,7)*RoofArea_m2*CollectionEff-DailyDemand_L*INDEX('Rainfall Data'!$E$15:$E$26,7),0),$B34)</f>
        <v>500</v>
      </c>
      <c r="T34" s="107">
        <f>MIN(MAX(S34+INDEX(ActiveMonthlyRain,8)*RoofArea_m2*CollectionEff-DailyDemand_L*INDEX('Rainfall Data'!$E$15:$E$26,8),0),$B34)</f>
        <v>500</v>
      </c>
      <c r="U34" s="107">
        <f>MIN(MAX(T34+INDEX(ActiveMonthlyRain,9)*RoofArea_m2*CollectionEff-DailyDemand_L*INDEX('Rainfall Data'!$E$15:$E$26,9),0),$B34)</f>
        <v>0</v>
      </c>
      <c r="V34" s="107">
        <f>MIN(MAX(U34+INDEX(ActiveMonthlyRain,10)*RoofArea_m2*CollectionEff-DailyDemand_L*INDEX('Rainfall Data'!$E$15:$E$26,10),0),$B34)</f>
        <v>0</v>
      </c>
      <c r="W34" s="107">
        <f>MIN(MAX(V34+INDEX(ActiveMonthlyRain,11)*RoofArea_m2*CollectionEff-DailyDemand_L*INDEX('Rainfall Data'!$E$15:$E$26,11),0),$B34)</f>
        <v>0</v>
      </c>
      <c r="X34" s="107">
        <f>MIN(MAX(W34+INDEX(ActiveMonthlyRain,12)*RoofArea_m2*CollectionEff-DailyDemand_L*INDEX('Rainfall Data'!$E$15:$E$26,12),0),$B34)</f>
        <v>0</v>
      </c>
    </row>
    <row r="35" spans="2:24" ht="15" customHeight="1" x14ac:dyDescent="0.35">
      <c r="B35" s="102">
        <v>1000</v>
      </c>
      <c r="C35" s="108">
        <f>MIN(DailyDemand_L*INDEX('Rainfall Data'!$E$15:$E$26,1),MAX(TankInitial_L+INDEX(ActiveMonthlyRain,1)*RoofArea_m2*CollectionEff-DeadStorage_L,0))+MIN(DailyDemand_L*INDEX('Rainfall Data'!$E$15:$E$26,2),MAX(M35+INDEX(ActiveMonthlyRain,2)*RoofArea_m2*CollectionEff-DeadStorage_L,0))+MIN(DailyDemand_L*INDEX('Rainfall Data'!$E$15:$E$26,3),MAX(N35+INDEX(ActiveMonthlyRain,3)*RoofArea_m2*CollectionEff-DeadStorage_L,0))+MIN(DailyDemand_L*INDEX('Rainfall Data'!$E$15:$E$26,4),MAX(O35+INDEX(ActiveMonthlyRain,4)*RoofArea_m2*CollectionEff-DeadStorage_L,0))+MIN(DailyDemand_L*INDEX('Rainfall Data'!$E$15:$E$26,5),MAX(P35+INDEX(ActiveMonthlyRain,5)*RoofArea_m2*CollectionEff-DeadStorage_L,0))+MIN(DailyDemand_L*INDEX('Rainfall Data'!$E$15:$E$26,6),MAX(Q35+INDEX(ActiveMonthlyRain,6)*RoofArea_m2*CollectionEff-DeadStorage_L,0))+MIN(DailyDemand_L*INDEX('Rainfall Data'!$E$15:$E$26,7),MAX(R35+INDEX(ActiveMonthlyRain,7)*RoofArea_m2*CollectionEff-DeadStorage_L,0))+MIN(DailyDemand_L*INDEX('Rainfall Data'!$E$15:$E$26,8),MAX(S35+INDEX(ActiveMonthlyRain,8)*RoofArea_m2*CollectionEff-DeadStorage_L,0))+MIN(DailyDemand_L*INDEX('Rainfall Data'!$E$15:$E$26,9),MAX(T35+INDEX(ActiveMonthlyRain,9)*RoofArea_m2*CollectionEff-DeadStorage_L,0))+MIN(DailyDemand_L*INDEX('Rainfall Data'!$E$15:$E$26,10),MAX(U35+INDEX(ActiveMonthlyRain,10)*RoofArea_m2*CollectionEff-DeadStorage_L,0))+MIN(DailyDemand_L*INDEX('Rainfall Data'!$E$15:$E$26,11),MAX(V35+INDEX(ActiveMonthlyRain,11)*RoofArea_m2*CollectionEff-DeadStorage_L,0))+MIN(DailyDemand_L*INDEX('Rainfall Data'!$E$15:$E$26,12),MAX(W35+INDEX(ActiveMonthlyRain,12)*RoofArea_m2*CollectionEff-DeadStorage_L,0))</f>
        <v>22826.576499999999</v>
      </c>
      <c r="D35" s="109">
        <f>MAX(TankInitial_L+INDEX(ActiveMonthlyRain,1)*RoofArea_m2*CollectionEff-MIN(DailyDemand_L*INDEX('Rainfall Data'!$E$15:$E$26,1),MAX(TankInitial_L+INDEX(ActiveMonthlyRain,1)*RoofArea_m2*CollectionEff-DeadStorage_L,0))-$B35,0)+MAX(M35+INDEX(ActiveMonthlyRain,2)*RoofArea_m2*CollectionEff-MIN(DailyDemand_L*INDEX('Rainfall Data'!$E$15:$E$26,2),MAX(M35+INDEX(ActiveMonthlyRain,2)*RoofArea_m2*CollectionEff-DeadStorage_L,0))-$B35,0)+MAX(N35+INDEX(ActiveMonthlyRain,3)*RoofArea_m2*CollectionEff-MIN(DailyDemand_L*INDEX('Rainfall Data'!$E$15:$E$26,3),MAX(N35+INDEX(ActiveMonthlyRain,3)*RoofArea_m2*CollectionEff-DeadStorage_L,0))-$B35,0)+MAX(O35+INDEX(ActiveMonthlyRain,4)*RoofArea_m2*CollectionEff-MIN(DailyDemand_L*INDEX('Rainfall Data'!$E$15:$E$26,4),MAX(O35+INDEX(ActiveMonthlyRain,4)*RoofArea_m2*CollectionEff-DeadStorage_L,0))-$B35,0)+MAX(P35+INDEX(ActiveMonthlyRain,5)*RoofArea_m2*CollectionEff-MIN(DailyDemand_L*INDEX('Rainfall Data'!$E$15:$E$26,5),MAX(P35+INDEX(ActiveMonthlyRain,5)*RoofArea_m2*CollectionEff-DeadStorage_L,0))-$B35,0)+MAX(Q35+INDEX(ActiveMonthlyRain,6)*RoofArea_m2*CollectionEff-MIN(DailyDemand_L*INDEX('Rainfall Data'!$E$15:$E$26,6),MAX(Q35+INDEX(ActiveMonthlyRain,6)*RoofArea_m2*CollectionEff-DeadStorage_L,0))-$B35,0)+MAX(R35+INDEX(ActiveMonthlyRain,7)*RoofArea_m2*CollectionEff-MIN(DailyDemand_L*INDEX('Rainfall Data'!$E$15:$E$26,7),MAX(R35+INDEX(ActiveMonthlyRain,7)*RoofArea_m2*CollectionEff-DeadStorage_L,0))-$B35,0)+MAX(S35+INDEX(ActiveMonthlyRain,8)*RoofArea_m2*CollectionEff-MIN(DailyDemand_L*INDEX('Rainfall Data'!$E$15:$E$26,8),MAX(S35+INDEX(ActiveMonthlyRain,8)*RoofArea_m2*CollectionEff-DeadStorage_L,0))-$B35,0)+MAX(T35+INDEX(ActiveMonthlyRain,9)*RoofArea_m2*CollectionEff-MIN(DailyDemand_L*INDEX('Rainfall Data'!$E$15:$E$26,9),MAX(T35+INDEX(ActiveMonthlyRain,9)*RoofArea_m2*CollectionEff-DeadStorage_L,0))-$B35,0)+MAX(U35+INDEX(ActiveMonthlyRain,10)*RoofArea_m2*CollectionEff-MIN(DailyDemand_L*INDEX('Rainfall Data'!$E$15:$E$26,10),MAX(U35+INDEX(ActiveMonthlyRain,10)*RoofArea_m2*CollectionEff-DeadStorage_L,0))-$B35,0)+MAX(V35+INDEX(ActiveMonthlyRain,11)*RoofArea_m2*CollectionEff-MIN(DailyDemand_L*INDEX('Rainfall Data'!$E$15:$E$26,11),MAX(V35+INDEX(ActiveMonthlyRain,11)*RoofArea_m2*CollectionEff-DeadStorage_L,0))-$B35,0)+MAX(W35+INDEX(ActiveMonthlyRain,12)*RoofArea_m2*CollectionEff-MIN(DailyDemand_L*INDEX('Rainfall Data'!$E$15:$E$26,12),MAX(W35+INDEX(ActiveMonthlyRain,12)*RoofArea_m2*CollectionEff-DeadStorage_L,0))-$B35,0)</f>
        <v>3283.1009999999987</v>
      </c>
      <c r="E35" s="110">
        <f>SUMPRODUCT(DailyDemand_L*'Rainfall Data'!$E$15:$E$26)-C35</f>
        <v>75723.423500000004</v>
      </c>
      <c r="F35" s="111">
        <f>C35/SUMPRODUCT(DailyDemand_L*'Rainfall Data'!$E$15:$E$26)</f>
        <v>0.23162431760527649</v>
      </c>
      <c r="G35" s="112">
        <f t="shared" ref="G35:G48" si="0">C35-C34</f>
        <v>500</v>
      </c>
      <c r="M35" s="107">
        <f>MIN(MAX(TankInitial_L+INDEX(ActiveMonthlyRain,1)*RoofArea_m2*CollectionEff-DailyDemand_L*INDEX('Rainfall Data'!$E$15:$E$26,1),0),$B35)</f>
        <v>0</v>
      </c>
      <c r="N35" s="107">
        <f>MIN(MAX(M35+INDEX(ActiveMonthlyRain,2)*RoofArea_m2*CollectionEff-DailyDemand_L*INDEX('Rainfall Data'!$E$15:$E$26,2),0),$B35)</f>
        <v>0</v>
      </c>
      <c r="O35" s="107">
        <f>MIN(MAX(N35+INDEX(ActiveMonthlyRain,3)*RoofArea_m2*CollectionEff-DailyDemand_L*INDEX('Rainfall Data'!$E$15:$E$26,3),0),$B35)</f>
        <v>0</v>
      </c>
      <c r="P35" s="107">
        <f>MIN(MAX(O35+INDEX(ActiveMonthlyRain,4)*RoofArea_m2*CollectionEff-DailyDemand_L*INDEX('Rainfall Data'!$E$15:$E$26,4),0),$B35)</f>
        <v>0</v>
      </c>
      <c r="Q35" s="107">
        <f>MIN(MAX(P35+INDEX(ActiveMonthlyRain,5)*RoofArea_m2*CollectionEff-DailyDemand_L*INDEX('Rainfall Data'!$E$15:$E$26,5),0),$B35)</f>
        <v>0</v>
      </c>
      <c r="R35" s="107">
        <f>MIN(MAX(Q35+INDEX(ActiveMonthlyRain,6)*RoofArea_m2*CollectionEff-DailyDemand_L*INDEX('Rainfall Data'!$E$15:$E$26,6),0),$B35)</f>
        <v>0</v>
      </c>
      <c r="S35" s="107">
        <f>MIN(MAX(R35+INDEX(ActiveMonthlyRain,7)*RoofArea_m2*CollectionEff-DailyDemand_L*INDEX('Rainfall Data'!$E$15:$E$26,7),0),$B35)</f>
        <v>1000</v>
      </c>
      <c r="T35" s="107">
        <f>MIN(MAX(S35+INDEX(ActiveMonthlyRain,8)*RoofArea_m2*CollectionEff-DailyDemand_L*INDEX('Rainfall Data'!$E$15:$E$26,8),0),$B35)</f>
        <v>1000</v>
      </c>
      <c r="U35" s="107">
        <f>MIN(MAX(T35+INDEX(ActiveMonthlyRain,9)*RoofArea_m2*CollectionEff-DailyDemand_L*INDEX('Rainfall Data'!$E$15:$E$26,9),0),$B35)</f>
        <v>0</v>
      </c>
      <c r="V35" s="107">
        <f>MIN(MAX(U35+INDEX(ActiveMonthlyRain,10)*RoofArea_m2*CollectionEff-DailyDemand_L*INDEX('Rainfall Data'!$E$15:$E$26,10),0),$B35)</f>
        <v>0</v>
      </c>
      <c r="W35" s="107">
        <f>MIN(MAX(V35+INDEX(ActiveMonthlyRain,11)*RoofArea_m2*CollectionEff-DailyDemand_L*INDEX('Rainfall Data'!$E$15:$E$26,11),0),$B35)</f>
        <v>0</v>
      </c>
      <c r="X35" s="107">
        <f>MIN(MAX(W35+INDEX(ActiveMonthlyRain,12)*RoofArea_m2*CollectionEff-DailyDemand_L*INDEX('Rainfall Data'!$E$15:$E$26,12),0),$B35)</f>
        <v>0</v>
      </c>
    </row>
    <row r="36" spans="2:24" ht="15" customHeight="1" x14ac:dyDescent="0.35">
      <c r="B36" s="102">
        <v>1500</v>
      </c>
      <c r="C36" s="103">
        <f>MIN(DailyDemand_L*INDEX('Rainfall Data'!$E$15:$E$26,1),MAX(TankInitial_L+INDEX(ActiveMonthlyRain,1)*RoofArea_m2*CollectionEff-DeadStorage_L,0))+MIN(DailyDemand_L*INDEX('Rainfall Data'!$E$15:$E$26,2),MAX(M36+INDEX(ActiveMonthlyRain,2)*RoofArea_m2*CollectionEff-DeadStorage_L,0))+MIN(DailyDemand_L*INDEX('Rainfall Data'!$E$15:$E$26,3),MAX(N36+INDEX(ActiveMonthlyRain,3)*RoofArea_m2*CollectionEff-DeadStorage_L,0))+MIN(DailyDemand_L*INDEX('Rainfall Data'!$E$15:$E$26,4),MAX(O36+INDEX(ActiveMonthlyRain,4)*RoofArea_m2*CollectionEff-DeadStorage_L,0))+MIN(DailyDemand_L*INDEX('Rainfall Data'!$E$15:$E$26,5),MAX(P36+INDEX(ActiveMonthlyRain,5)*RoofArea_m2*CollectionEff-DeadStorage_L,0))+MIN(DailyDemand_L*INDEX('Rainfall Data'!$E$15:$E$26,6),MAX(Q36+INDEX(ActiveMonthlyRain,6)*RoofArea_m2*CollectionEff-DeadStorage_L,0))+MIN(DailyDemand_L*INDEX('Rainfall Data'!$E$15:$E$26,7),MAX(R36+INDEX(ActiveMonthlyRain,7)*RoofArea_m2*CollectionEff-DeadStorage_L,0))+MIN(DailyDemand_L*INDEX('Rainfall Data'!$E$15:$E$26,8),MAX(S36+INDEX(ActiveMonthlyRain,8)*RoofArea_m2*CollectionEff-DeadStorage_L,0))+MIN(DailyDemand_L*INDEX('Rainfall Data'!$E$15:$E$26,9),MAX(T36+INDEX(ActiveMonthlyRain,9)*RoofArea_m2*CollectionEff-DeadStorage_L,0))+MIN(DailyDemand_L*INDEX('Rainfall Data'!$E$15:$E$26,10),MAX(U36+INDEX(ActiveMonthlyRain,10)*RoofArea_m2*CollectionEff-DeadStorage_L,0))+MIN(DailyDemand_L*INDEX('Rainfall Data'!$E$15:$E$26,11),MAX(V36+INDEX(ActiveMonthlyRain,11)*RoofArea_m2*CollectionEff-DeadStorage_L,0))+MIN(DailyDemand_L*INDEX('Rainfall Data'!$E$15:$E$26,12),MAX(W36+INDEX(ActiveMonthlyRain,12)*RoofArea_m2*CollectionEff-DeadStorage_L,0))</f>
        <v>23326.576499999999</v>
      </c>
      <c r="D36" s="104">
        <f>MAX(TankInitial_L+INDEX(ActiveMonthlyRain,1)*RoofArea_m2*CollectionEff-MIN(DailyDemand_L*INDEX('Rainfall Data'!$E$15:$E$26,1),MAX(TankInitial_L+INDEX(ActiveMonthlyRain,1)*RoofArea_m2*CollectionEff-DeadStorage_L,0))-$B36,0)+MAX(M36+INDEX(ActiveMonthlyRain,2)*RoofArea_m2*CollectionEff-MIN(DailyDemand_L*INDEX('Rainfall Data'!$E$15:$E$26,2),MAX(M36+INDEX(ActiveMonthlyRain,2)*RoofArea_m2*CollectionEff-DeadStorage_L,0))-$B36,0)+MAX(N36+INDEX(ActiveMonthlyRain,3)*RoofArea_m2*CollectionEff-MIN(DailyDemand_L*INDEX('Rainfall Data'!$E$15:$E$26,3),MAX(N36+INDEX(ActiveMonthlyRain,3)*RoofArea_m2*CollectionEff-DeadStorage_L,0))-$B36,0)+MAX(O36+INDEX(ActiveMonthlyRain,4)*RoofArea_m2*CollectionEff-MIN(DailyDemand_L*INDEX('Rainfall Data'!$E$15:$E$26,4),MAX(O36+INDEX(ActiveMonthlyRain,4)*RoofArea_m2*CollectionEff-DeadStorage_L,0))-$B36,0)+MAX(P36+INDEX(ActiveMonthlyRain,5)*RoofArea_m2*CollectionEff-MIN(DailyDemand_L*INDEX('Rainfall Data'!$E$15:$E$26,5),MAX(P36+INDEX(ActiveMonthlyRain,5)*RoofArea_m2*CollectionEff-DeadStorage_L,0))-$B36,0)+MAX(Q36+INDEX(ActiveMonthlyRain,6)*RoofArea_m2*CollectionEff-MIN(DailyDemand_L*INDEX('Rainfall Data'!$E$15:$E$26,6),MAX(Q36+INDEX(ActiveMonthlyRain,6)*RoofArea_m2*CollectionEff-DeadStorage_L,0))-$B36,0)+MAX(R36+INDEX(ActiveMonthlyRain,7)*RoofArea_m2*CollectionEff-MIN(DailyDemand_L*INDEX('Rainfall Data'!$E$15:$E$26,7),MAX(R36+INDEX(ActiveMonthlyRain,7)*RoofArea_m2*CollectionEff-DeadStorage_L,0))-$B36,0)+MAX(S36+INDEX(ActiveMonthlyRain,8)*RoofArea_m2*CollectionEff-MIN(DailyDemand_L*INDEX('Rainfall Data'!$E$15:$E$26,8),MAX(S36+INDEX(ActiveMonthlyRain,8)*RoofArea_m2*CollectionEff-DeadStorage_L,0))-$B36,0)+MAX(T36+INDEX(ActiveMonthlyRain,9)*RoofArea_m2*CollectionEff-MIN(DailyDemand_L*INDEX('Rainfall Data'!$E$15:$E$26,9),MAX(T36+INDEX(ActiveMonthlyRain,9)*RoofArea_m2*CollectionEff-DeadStorage_L,0))-$B36,0)+MAX(U36+INDEX(ActiveMonthlyRain,10)*RoofArea_m2*CollectionEff-MIN(DailyDemand_L*INDEX('Rainfall Data'!$E$15:$E$26,10),MAX(U36+INDEX(ActiveMonthlyRain,10)*RoofArea_m2*CollectionEff-DeadStorage_L,0))-$B36,0)+MAX(V36+INDEX(ActiveMonthlyRain,11)*RoofArea_m2*CollectionEff-MIN(DailyDemand_L*INDEX('Rainfall Data'!$E$15:$E$26,11),MAX(V36+INDEX(ActiveMonthlyRain,11)*RoofArea_m2*CollectionEff-DeadStorage_L,0))-$B36,0)+MAX(W36+INDEX(ActiveMonthlyRain,12)*RoofArea_m2*CollectionEff-MIN(DailyDemand_L*INDEX('Rainfall Data'!$E$15:$E$26,12),MAX(W36+INDEX(ActiveMonthlyRain,12)*RoofArea_m2*CollectionEff-DeadStorage_L,0))-$B36,0)</f>
        <v>2783.1009999999987</v>
      </c>
      <c r="E36" s="105">
        <f>SUMPRODUCT(DailyDemand_L*'Rainfall Data'!$E$15:$E$26)-C36</f>
        <v>75223.423500000004</v>
      </c>
      <c r="F36" s="106">
        <f>C36/SUMPRODUCT(DailyDemand_L*'Rainfall Data'!$E$15:$E$26)</f>
        <v>0.23669788432267883</v>
      </c>
      <c r="G36" s="113">
        <f t="shared" si="0"/>
        <v>500</v>
      </c>
      <c r="M36" s="107">
        <f>MIN(MAX(TankInitial_L+INDEX(ActiveMonthlyRain,1)*RoofArea_m2*CollectionEff-DailyDemand_L*INDEX('Rainfall Data'!$E$15:$E$26,1),0),$B36)</f>
        <v>0</v>
      </c>
      <c r="N36" s="107">
        <f>MIN(MAX(M36+INDEX(ActiveMonthlyRain,2)*RoofArea_m2*CollectionEff-DailyDemand_L*INDEX('Rainfall Data'!$E$15:$E$26,2),0),$B36)</f>
        <v>0</v>
      </c>
      <c r="O36" s="107">
        <f>MIN(MAX(N36+INDEX(ActiveMonthlyRain,3)*RoofArea_m2*CollectionEff-DailyDemand_L*INDEX('Rainfall Data'!$E$15:$E$26,3),0),$B36)</f>
        <v>0</v>
      </c>
      <c r="P36" s="107">
        <f>MIN(MAX(O36+INDEX(ActiveMonthlyRain,4)*RoofArea_m2*CollectionEff-DailyDemand_L*INDEX('Rainfall Data'!$E$15:$E$26,4),0),$B36)</f>
        <v>0</v>
      </c>
      <c r="Q36" s="107">
        <f>MIN(MAX(P36+INDEX(ActiveMonthlyRain,5)*RoofArea_m2*CollectionEff-DailyDemand_L*INDEX('Rainfall Data'!$E$15:$E$26,5),0),$B36)</f>
        <v>0</v>
      </c>
      <c r="R36" s="107">
        <f>MIN(MAX(Q36+INDEX(ActiveMonthlyRain,6)*RoofArea_m2*CollectionEff-DailyDemand_L*INDEX('Rainfall Data'!$E$15:$E$26,6),0),$B36)</f>
        <v>0</v>
      </c>
      <c r="S36" s="107">
        <f>MIN(MAX(R36+INDEX(ActiveMonthlyRain,7)*RoofArea_m2*CollectionEff-DailyDemand_L*INDEX('Rainfall Data'!$E$15:$E$26,7),0),$B36)</f>
        <v>1500</v>
      </c>
      <c r="T36" s="107">
        <f>MIN(MAX(S36+INDEX(ActiveMonthlyRain,8)*RoofArea_m2*CollectionEff-DailyDemand_L*INDEX('Rainfall Data'!$E$15:$E$26,8),0),$B36)</f>
        <v>1500</v>
      </c>
      <c r="U36" s="107">
        <f>MIN(MAX(T36+INDEX(ActiveMonthlyRain,9)*RoofArea_m2*CollectionEff-DailyDemand_L*INDEX('Rainfall Data'!$E$15:$E$26,9),0),$B36)</f>
        <v>0</v>
      </c>
      <c r="V36" s="107">
        <f>MIN(MAX(U36+INDEX(ActiveMonthlyRain,10)*RoofArea_m2*CollectionEff-DailyDemand_L*INDEX('Rainfall Data'!$E$15:$E$26,10),0),$B36)</f>
        <v>0</v>
      </c>
      <c r="W36" s="107">
        <f>MIN(MAX(V36+INDEX(ActiveMonthlyRain,11)*RoofArea_m2*CollectionEff-DailyDemand_L*INDEX('Rainfall Data'!$E$15:$E$26,11),0),$B36)</f>
        <v>0</v>
      </c>
      <c r="X36" s="107">
        <f>MIN(MAX(W36+INDEX(ActiveMonthlyRain,12)*RoofArea_m2*CollectionEff-DailyDemand_L*INDEX('Rainfall Data'!$E$15:$E$26,12),0),$B36)</f>
        <v>0</v>
      </c>
    </row>
    <row r="37" spans="2:24" ht="15" customHeight="1" x14ac:dyDescent="0.35">
      <c r="B37" s="102">
        <v>2000</v>
      </c>
      <c r="C37" s="108">
        <f>MIN(DailyDemand_L*INDEX('Rainfall Data'!$E$15:$E$26,1),MAX(TankInitial_L+INDEX(ActiveMonthlyRain,1)*RoofArea_m2*CollectionEff-DeadStorage_L,0))+MIN(DailyDemand_L*INDEX('Rainfall Data'!$E$15:$E$26,2),MAX(M37+INDEX(ActiveMonthlyRain,2)*RoofArea_m2*CollectionEff-DeadStorage_L,0))+MIN(DailyDemand_L*INDEX('Rainfall Data'!$E$15:$E$26,3),MAX(N37+INDEX(ActiveMonthlyRain,3)*RoofArea_m2*CollectionEff-DeadStorage_L,0))+MIN(DailyDemand_L*INDEX('Rainfall Data'!$E$15:$E$26,4),MAX(O37+INDEX(ActiveMonthlyRain,4)*RoofArea_m2*CollectionEff-DeadStorage_L,0))+MIN(DailyDemand_L*INDEX('Rainfall Data'!$E$15:$E$26,5),MAX(P37+INDEX(ActiveMonthlyRain,5)*RoofArea_m2*CollectionEff-DeadStorage_L,0))+MIN(DailyDemand_L*INDEX('Rainfall Data'!$E$15:$E$26,6),MAX(Q37+INDEX(ActiveMonthlyRain,6)*RoofArea_m2*CollectionEff-DeadStorage_L,0))+MIN(DailyDemand_L*INDEX('Rainfall Data'!$E$15:$E$26,7),MAX(R37+INDEX(ActiveMonthlyRain,7)*RoofArea_m2*CollectionEff-DeadStorage_L,0))+MIN(DailyDemand_L*INDEX('Rainfall Data'!$E$15:$E$26,8),MAX(S37+INDEX(ActiveMonthlyRain,8)*RoofArea_m2*CollectionEff-DeadStorage_L,0))+MIN(DailyDemand_L*INDEX('Rainfall Data'!$E$15:$E$26,9),MAX(T37+INDEX(ActiveMonthlyRain,9)*RoofArea_m2*CollectionEff-DeadStorage_L,0))+MIN(DailyDemand_L*INDEX('Rainfall Data'!$E$15:$E$26,10),MAX(U37+INDEX(ActiveMonthlyRain,10)*RoofArea_m2*CollectionEff-DeadStorage_L,0))+MIN(DailyDemand_L*INDEX('Rainfall Data'!$E$15:$E$26,11),MAX(V37+INDEX(ActiveMonthlyRain,11)*RoofArea_m2*CollectionEff-DeadStorage_L,0))+MIN(DailyDemand_L*INDEX('Rainfall Data'!$E$15:$E$26,12),MAX(W37+INDEX(ActiveMonthlyRain,12)*RoofArea_m2*CollectionEff-DeadStorage_L,0))</f>
        <v>23826.576499999999</v>
      </c>
      <c r="D37" s="109">
        <f>MAX(TankInitial_L+INDEX(ActiveMonthlyRain,1)*RoofArea_m2*CollectionEff-MIN(DailyDemand_L*INDEX('Rainfall Data'!$E$15:$E$26,1),MAX(TankInitial_L+INDEX(ActiveMonthlyRain,1)*RoofArea_m2*CollectionEff-DeadStorage_L,0))-$B37,0)+MAX(M37+INDEX(ActiveMonthlyRain,2)*RoofArea_m2*CollectionEff-MIN(DailyDemand_L*INDEX('Rainfall Data'!$E$15:$E$26,2),MAX(M37+INDEX(ActiveMonthlyRain,2)*RoofArea_m2*CollectionEff-DeadStorage_L,0))-$B37,0)+MAX(N37+INDEX(ActiveMonthlyRain,3)*RoofArea_m2*CollectionEff-MIN(DailyDemand_L*INDEX('Rainfall Data'!$E$15:$E$26,3),MAX(N37+INDEX(ActiveMonthlyRain,3)*RoofArea_m2*CollectionEff-DeadStorage_L,0))-$B37,0)+MAX(O37+INDEX(ActiveMonthlyRain,4)*RoofArea_m2*CollectionEff-MIN(DailyDemand_L*INDEX('Rainfall Data'!$E$15:$E$26,4),MAX(O37+INDEX(ActiveMonthlyRain,4)*RoofArea_m2*CollectionEff-DeadStorage_L,0))-$B37,0)+MAX(P37+INDEX(ActiveMonthlyRain,5)*RoofArea_m2*CollectionEff-MIN(DailyDemand_L*INDEX('Rainfall Data'!$E$15:$E$26,5),MAX(P37+INDEX(ActiveMonthlyRain,5)*RoofArea_m2*CollectionEff-DeadStorage_L,0))-$B37,0)+MAX(Q37+INDEX(ActiveMonthlyRain,6)*RoofArea_m2*CollectionEff-MIN(DailyDemand_L*INDEX('Rainfall Data'!$E$15:$E$26,6),MAX(Q37+INDEX(ActiveMonthlyRain,6)*RoofArea_m2*CollectionEff-DeadStorage_L,0))-$B37,0)+MAX(R37+INDEX(ActiveMonthlyRain,7)*RoofArea_m2*CollectionEff-MIN(DailyDemand_L*INDEX('Rainfall Data'!$E$15:$E$26,7),MAX(R37+INDEX(ActiveMonthlyRain,7)*RoofArea_m2*CollectionEff-DeadStorage_L,0))-$B37,0)+MAX(S37+INDEX(ActiveMonthlyRain,8)*RoofArea_m2*CollectionEff-MIN(DailyDemand_L*INDEX('Rainfall Data'!$E$15:$E$26,8),MAX(S37+INDEX(ActiveMonthlyRain,8)*RoofArea_m2*CollectionEff-DeadStorage_L,0))-$B37,0)+MAX(T37+INDEX(ActiveMonthlyRain,9)*RoofArea_m2*CollectionEff-MIN(DailyDemand_L*INDEX('Rainfall Data'!$E$15:$E$26,9),MAX(T37+INDEX(ActiveMonthlyRain,9)*RoofArea_m2*CollectionEff-DeadStorage_L,0))-$B37,0)+MAX(U37+INDEX(ActiveMonthlyRain,10)*RoofArea_m2*CollectionEff-MIN(DailyDemand_L*INDEX('Rainfall Data'!$E$15:$E$26,10),MAX(U37+INDEX(ActiveMonthlyRain,10)*RoofArea_m2*CollectionEff-DeadStorage_L,0))-$B37,0)+MAX(V37+INDEX(ActiveMonthlyRain,11)*RoofArea_m2*CollectionEff-MIN(DailyDemand_L*INDEX('Rainfall Data'!$E$15:$E$26,11),MAX(V37+INDEX(ActiveMonthlyRain,11)*RoofArea_m2*CollectionEff-DeadStorage_L,0))-$B37,0)+MAX(W37+INDEX(ActiveMonthlyRain,12)*RoofArea_m2*CollectionEff-MIN(DailyDemand_L*INDEX('Rainfall Data'!$E$15:$E$26,12),MAX(W37+INDEX(ActiveMonthlyRain,12)*RoofArea_m2*CollectionEff-DeadStorage_L,0))-$B37,0)</f>
        <v>2283.1009999999987</v>
      </c>
      <c r="E37" s="110">
        <f>SUMPRODUCT(DailyDemand_L*'Rainfall Data'!$E$15:$E$26)-C37</f>
        <v>74723.423500000004</v>
      </c>
      <c r="F37" s="111">
        <f>C37/SUMPRODUCT(DailyDemand_L*'Rainfall Data'!$E$15:$E$26)</f>
        <v>0.24177145104008116</v>
      </c>
      <c r="G37" s="112">
        <f t="shared" si="0"/>
        <v>500</v>
      </c>
      <c r="M37" s="107">
        <f>MIN(MAX(TankInitial_L+INDEX(ActiveMonthlyRain,1)*RoofArea_m2*CollectionEff-DailyDemand_L*INDEX('Rainfall Data'!$E$15:$E$26,1),0),$B37)</f>
        <v>0</v>
      </c>
      <c r="N37" s="107">
        <f>MIN(MAX(M37+INDEX(ActiveMonthlyRain,2)*RoofArea_m2*CollectionEff-DailyDemand_L*INDEX('Rainfall Data'!$E$15:$E$26,2),0),$B37)</f>
        <v>0</v>
      </c>
      <c r="O37" s="107">
        <f>MIN(MAX(N37+INDEX(ActiveMonthlyRain,3)*RoofArea_m2*CollectionEff-DailyDemand_L*INDEX('Rainfall Data'!$E$15:$E$26,3),0),$B37)</f>
        <v>0</v>
      </c>
      <c r="P37" s="107">
        <f>MIN(MAX(O37+INDEX(ActiveMonthlyRain,4)*RoofArea_m2*CollectionEff-DailyDemand_L*INDEX('Rainfall Data'!$E$15:$E$26,4),0),$B37)</f>
        <v>0</v>
      </c>
      <c r="Q37" s="107">
        <f>MIN(MAX(P37+INDEX(ActiveMonthlyRain,5)*RoofArea_m2*CollectionEff-DailyDemand_L*INDEX('Rainfall Data'!$E$15:$E$26,5),0),$B37)</f>
        <v>0</v>
      </c>
      <c r="R37" s="107">
        <f>MIN(MAX(Q37+INDEX(ActiveMonthlyRain,6)*RoofArea_m2*CollectionEff-DailyDemand_L*INDEX('Rainfall Data'!$E$15:$E$26,6),0),$B37)</f>
        <v>0</v>
      </c>
      <c r="S37" s="107">
        <f>MIN(MAX(R37+INDEX(ActiveMonthlyRain,7)*RoofArea_m2*CollectionEff-DailyDemand_L*INDEX('Rainfall Data'!$E$15:$E$26,7),0),$B37)</f>
        <v>2000</v>
      </c>
      <c r="T37" s="107">
        <f>MIN(MAX(S37+INDEX(ActiveMonthlyRain,8)*RoofArea_m2*CollectionEff-DailyDemand_L*INDEX('Rainfall Data'!$E$15:$E$26,8),0),$B37)</f>
        <v>2000</v>
      </c>
      <c r="U37" s="107">
        <f>MIN(MAX(T37+INDEX(ActiveMonthlyRain,9)*RoofArea_m2*CollectionEff-DailyDemand_L*INDEX('Rainfall Data'!$E$15:$E$26,9),0),$B37)</f>
        <v>0</v>
      </c>
      <c r="V37" s="107">
        <f>MIN(MAX(U37+INDEX(ActiveMonthlyRain,10)*RoofArea_m2*CollectionEff-DailyDemand_L*INDEX('Rainfall Data'!$E$15:$E$26,10),0),$B37)</f>
        <v>0</v>
      </c>
      <c r="W37" s="107">
        <f>MIN(MAX(V37+INDEX(ActiveMonthlyRain,11)*RoofArea_m2*CollectionEff-DailyDemand_L*INDEX('Rainfall Data'!$E$15:$E$26,11),0),$B37)</f>
        <v>0</v>
      </c>
      <c r="X37" s="107">
        <f>MIN(MAX(W37+INDEX(ActiveMonthlyRain,12)*RoofArea_m2*CollectionEff-DailyDemand_L*INDEX('Rainfall Data'!$E$15:$E$26,12),0),$B37)</f>
        <v>0</v>
      </c>
    </row>
    <row r="38" spans="2:24" ht="15" customHeight="1" x14ac:dyDescent="0.35">
      <c r="B38" s="102">
        <v>2500</v>
      </c>
      <c r="C38" s="103">
        <f>MIN(DailyDemand_L*INDEX('Rainfall Data'!$E$15:$E$26,1),MAX(TankInitial_L+INDEX(ActiveMonthlyRain,1)*RoofArea_m2*CollectionEff-DeadStorage_L,0))+MIN(DailyDemand_L*INDEX('Rainfall Data'!$E$15:$E$26,2),MAX(M38+INDEX(ActiveMonthlyRain,2)*RoofArea_m2*CollectionEff-DeadStorage_L,0))+MIN(DailyDemand_L*INDEX('Rainfall Data'!$E$15:$E$26,3),MAX(N38+INDEX(ActiveMonthlyRain,3)*RoofArea_m2*CollectionEff-DeadStorage_L,0))+MIN(DailyDemand_L*INDEX('Rainfall Data'!$E$15:$E$26,4),MAX(O38+INDEX(ActiveMonthlyRain,4)*RoofArea_m2*CollectionEff-DeadStorage_L,0))+MIN(DailyDemand_L*INDEX('Rainfall Data'!$E$15:$E$26,5),MAX(P38+INDEX(ActiveMonthlyRain,5)*RoofArea_m2*CollectionEff-DeadStorage_L,0))+MIN(DailyDemand_L*INDEX('Rainfall Data'!$E$15:$E$26,6),MAX(Q38+INDEX(ActiveMonthlyRain,6)*RoofArea_m2*CollectionEff-DeadStorage_L,0))+MIN(DailyDemand_L*INDEX('Rainfall Data'!$E$15:$E$26,7),MAX(R38+INDEX(ActiveMonthlyRain,7)*RoofArea_m2*CollectionEff-DeadStorage_L,0))+MIN(DailyDemand_L*INDEX('Rainfall Data'!$E$15:$E$26,8),MAX(S38+INDEX(ActiveMonthlyRain,8)*RoofArea_m2*CollectionEff-DeadStorage_L,0))+MIN(DailyDemand_L*INDEX('Rainfall Data'!$E$15:$E$26,9),MAX(T38+INDEX(ActiveMonthlyRain,9)*RoofArea_m2*CollectionEff-DeadStorage_L,0))+MIN(DailyDemand_L*INDEX('Rainfall Data'!$E$15:$E$26,10),MAX(U38+INDEX(ActiveMonthlyRain,10)*RoofArea_m2*CollectionEff-DeadStorage_L,0))+MIN(DailyDemand_L*INDEX('Rainfall Data'!$E$15:$E$26,11),MAX(V38+INDEX(ActiveMonthlyRain,11)*RoofArea_m2*CollectionEff-DeadStorage_L,0))+MIN(DailyDemand_L*INDEX('Rainfall Data'!$E$15:$E$26,12),MAX(W38+INDEX(ActiveMonthlyRain,12)*RoofArea_m2*CollectionEff-DeadStorage_L,0))</f>
        <v>24326.576499999999</v>
      </c>
      <c r="D38" s="104">
        <f>MAX(TankInitial_L+INDEX(ActiveMonthlyRain,1)*RoofArea_m2*CollectionEff-MIN(DailyDemand_L*INDEX('Rainfall Data'!$E$15:$E$26,1),MAX(TankInitial_L+INDEX(ActiveMonthlyRain,1)*RoofArea_m2*CollectionEff-DeadStorage_L,0))-$B38,0)+MAX(M38+INDEX(ActiveMonthlyRain,2)*RoofArea_m2*CollectionEff-MIN(DailyDemand_L*INDEX('Rainfall Data'!$E$15:$E$26,2),MAX(M38+INDEX(ActiveMonthlyRain,2)*RoofArea_m2*CollectionEff-DeadStorage_L,0))-$B38,0)+MAX(N38+INDEX(ActiveMonthlyRain,3)*RoofArea_m2*CollectionEff-MIN(DailyDemand_L*INDEX('Rainfall Data'!$E$15:$E$26,3),MAX(N38+INDEX(ActiveMonthlyRain,3)*RoofArea_m2*CollectionEff-DeadStorage_L,0))-$B38,0)+MAX(O38+INDEX(ActiveMonthlyRain,4)*RoofArea_m2*CollectionEff-MIN(DailyDemand_L*INDEX('Rainfall Data'!$E$15:$E$26,4),MAX(O38+INDEX(ActiveMonthlyRain,4)*RoofArea_m2*CollectionEff-DeadStorage_L,0))-$B38,0)+MAX(P38+INDEX(ActiveMonthlyRain,5)*RoofArea_m2*CollectionEff-MIN(DailyDemand_L*INDEX('Rainfall Data'!$E$15:$E$26,5),MAX(P38+INDEX(ActiveMonthlyRain,5)*RoofArea_m2*CollectionEff-DeadStorage_L,0))-$B38,0)+MAX(Q38+INDEX(ActiveMonthlyRain,6)*RoofArea_m2*CollectionEff-MIN(DailyDemand_L*INDEX('Rainfall Data'!$E$15:$E$26,6),MAX(Q38+INDEX(ActiveMonthlyRain,6)*RoofArea_m2*CollectionEff-DeadStorage_L,0))-$B38,0)+MAX(R38+INDEX(ActiveMonthlyRain,7)*RoofArea_m2*CollectionEff-MIN(DailyDemand_L*INDEX('Rainfall Data'!$E$15:$E$26,7),MAX(R38+INDEX(ActiveMonthlyRain,7)*RoofArea_m2*CollectionEff-DeadStorage_L,0))-$B38,0)+MAX(S38+INDEX(ActiveMonthlyRain,8)*RoofArea_m2*CollectionEff-MIN(DailyDemand_L*INDEX('Rainfall Data'!$E$15:$E$26,8),MAX(S38+INDEX(ActiveMonthlyRain,8)*RoofArea_m2*CollectionEff-DeadStorage_L,0))-$B38,0)+MAX(T38+INDEX(ActiveMonthlyRain,9)*RoofArea_m2*CollectionEff-MIN(DailyDemand_L*INDEX('Rainfall Data'!$E$15:$E$26,9),MAX(T38+INDEX(ActiveMonthlyRain,9)*RoofArea_m2*CollectionEff-DeadStorage_L,0))-$B38,0)+MAX(U38+INDEX(ActiveMonthlyRain,10)*RoofArea_m2*CollectionEff-MIN(DailyDemand_L*INDEX('Rainfall Data'!$E$15:$E$26,10),MAX(U38+INDEX(ActiveMonthlyRain,10)*RoofArea_m2*CollectionEff-DeadStorage_L,0))-$B38,0)+MAX(V38+INDEX(ActiveMonthlyRain,11)*RoofArea_m2*CollectionEff-MIN(DailyDemand_L*INDEX('Rainfall Data'!$E$15:$E$26,11),MAX(V38+INDEX(ActiveMonthlyRain,11)*RoofArea_m2*CollectionEff-DeadStorage_L,0))-$B38,0)+MAX(W38+INDEX(ActiveMonthlyRain,12)*RoofArea_m2*CollectionEff-MIN(DailyDemand_L*INDEX('Rainfall Data'!$E$15:$E$26,12),MAX(W38+INDEX(ActiveMonthlyRain,12)*RoofArea_m2*CollectionEff-DeadStorage_L,0))-$B38,0)</f>
        <v>1783.1009999999987</v>
      </c>
      <c r="E38" s="105">
        <f>SUMPRODUCT(DailyDemand_L*'Rainfall Data'!$E$15:$E$26)-C38</f>
        <v>74223.423500000004</v>
      </c>
      <c r="F38" s="106">
        <f>C38/SUMPRODUCT(DailyDemand_L*'Rainfall Data'!$E$15:$E$26)</f>
        <v>0.24684501775748349</v>
      </c>
      <c r="G38" s="113">
        <f t="shared" si="0"/>
        <v>500</v>
      </c>
      <c r="M38" s="107">
        <f>MIN(MAX(TankInitial_L+INDEX(ActiveMonthlyRain,1)*RoofArea_m2*CollectionEff-DailyDemand_L*INDEX('Rainfall Data'!$E$15:$E$26,1),0),$B38)</f>
        <v>0</v>
      </c>
      <c r="N38" s="107">
        <f>MIN(MAX(M38+INDEX(ActiveMonthlyRain,2)*RoofArea_m2*CollectionEff-DailyDemand_L*INDEX('Rainfall Data'!$E$15:$E$26,2),0),$B38)</f>
        <v>0</v>
      </c>
      <c r="O38" s="107">
        <f>MIN(MAX(N38+INDEX(ActiveMonthlyRain,3)*RoofArea_m2*CollectionEff-DailyDemand_L*INDEX('Rainfall Data'!$E$15:$E$26,3),0),$B38)</f>
        <v>0</v>
      </c>
      <c r="P38" s="107">
        <f>MIN(MAX(O38+INDEX(ActiveMonthlyRain,4)*RoofArea_m2*CollectionEff-DailyDemand_L*INDEX('Rainfall Data'!$E$15:$E$26,4),0),$B38)</f>
        <v>0</v>
      </c>
      <c r="Q38" s="107">
        <f>MIN(MAX(P38+INDEX(ActiveMonthlyRain,5)*RoofArea_m2*CollectionEff-DailyDemand_L*INDEX('Rainfall Data'!$E$15:$E$26,5),0),$B38)</f>
        <v>0</v>
      </c>
      <c r="R38" s="107">
        <f>MIN(MAX(Q38+INDEX(ActiveMonthlyRain,6)*RoofArea_m2*CollectionEff-DailyDemand_L*INDEX('Rainfall Data'!$E$15:$E$26,6),0),$B38)</f>
        <v>0</v>
      </c>
      <c r="S38" s="107">
        <f>MIN(MAX(R38+INDEX(ActiveMonthlyRain,7)*RoofArea_m2*CollectionEff-DailyDemand_L*INDEX('Rainfall Data'!$E$15:$E$26,7),0),$B38)</f>
        <v>2500</v>
      </c>
      <c r="T38" s="107">
        <f>MIN(MAX(S38+INDEX(ActiveMonthlyRain,8)*RoofArea_m2*CollectionEff-DailyDemand_L*INDEX('Rainfall Data'!$E$15:$E$26,8),0),$B38)</f>
        <v>2500</v>
      </c>
      <c r="U38" s="107">
        <f>MIN(MAX(T38+INDEX(ActiveMonthlyRain,9)*RoofArea_m2*CollectionEff-DailyDemand_L*INDEX('Rainfall Data'!$E$15:$E$26,9),0),$B38)</f>
        <v>0</v>
      </c>
      <c r="V38" s="107">
        <f>MIN(MAX(U38+INDEX(ActiveMonthlyRain,10)*RoofArea_m2*CollectionEff-DailyDemand_L*INDEX('Rainfall Data'!$E$15:$E$26,10),0),$B38)</f>
        <v>0</v>
      </c>
      <c r="W38" s="107">
        <f>MIN(MAX(V38+INDEX(ActiveMonthlyRain,11)*RoofArea_m2*CollectionEff-DailyDemand_L*INDEX('Rainfall Data'!$E$15:$E$26,11),0),$B38)</f>
        <v>0</v>
      </c>
      <c r="X38" s="107">
        <f>MIN(MAX(W38+INDEX(ActiveMonthlyRain,12)*RoofArea_m2*CollectionEff-DailyDemand_L*INDEX('Rainfall Data'!$E$15:$E$26,12),0),$B38)</f>
        <v>0</v>
      </c>
    </row>
    <row r="39" spans="2:24" ht="15" customHeight="1" x14ac:dyDescent="0.35">
      <c r="B39" s="102">
        <v>3000</v>
      </c>
      <c r="C39" s="108">
        <f>MIN(DailyDemand_L*INDEX('Rainfall Data'!$E$15:$E$26,1),MAX(TankInitial_L+INDEX(ActiveMonthlyRain,1)*RoofArea_m2*CollectionEff-DeadStorage_L,0))+MIN(DailyDemand_L*INDEX('Rainfall Data'!$E$15:$E$26,2),MAX(M39+INDEX(ActiveMonthlyRain,2)*RoofArea_m2*CollectionEff-DeadStorage_L,0))+MIN(DailyDemand_L*INDEX('Rainfall Data'!$E$15:$E$26,3),MAX(N39+INDEX(ActiveMonthlyRain,3)*RoofArea_m2*CollectionEff-DeadStorage_L,0))+MIN(DailyDemand_L*INDEX('Rainfall Data'!$E$15:$E$26,4),MAX(O39+INDEX(ActiveMonthlyRain,4)*RoofArea_m2*CollectionEff-DeadStorage_L,0))+MIN(DailyDemand_L*INDEX('Rainfall Data'!$E$15:$E$26,5),MAX(P39+INDEX(ActiveMonthlyRain,5)*RoofArea_m2*CollectionEff-DeadStorage_L,0))+MIN(DailyDemand_L*INDEX('Rainfall Data'!$E$15:$E$26,6),MAX(Q39+INDEX(ActiveMonthlyRain,6)*RoofArea_m2*CollectionEff-DeadStorage_L,0))+MIN(DailyDemand_L*INDEX('Rainfall Data'!$E$15:$E$26,7),MAX(R39+INDEX(ActiveMonthlyRain,7)*RoofArea_m2*CollectionEff-DeadStorage_L,0))+MIN(DailyDemand_L*INDEX('Rainfall Data'!$E$15:$E$26,8),MAX(S39+INDEX(ActiveMonthlyRain,8)*RoofArea_m2*CollectionEff-DeadStorage_L,0))+MIN(DailyDemand_L*INDEX('Rainfall Data'!$E$15:$E$26,9),MAX(T39+INDEX(ActiveMonthlyRain,9)*RoofArea_m2*CollectionEff-DeadStorage_L,0))+MIN(DailyDemand_L*INDEX('Rainfall Data'!$E$15:$E$26,10),MAX(U39+INDEX(ActiveMonthlyRain,10)*RoofArea_m2*CollectionEff-DeadStorage_L,0))+MIN(DailyDemand_L*INDEX('Rainfall Data'!$E$15:$E$26,11),MAX(V39+INDEX(ActiveMonthlyRain,11)*RoofArea_m2*CollectionEff-DeadStorage_L,0))+MIN(DailyDemand_L*INDEX('Rainfall Data'!$E$15:$E$26,12),MAX(W39+INDEX(ActiveMonthlyRain,12)*RoofArea_m2*CollectionEff-DeadStorage_L,0))</f>
        <v>24826.576499999999</v>
      </c>
      <c r="D39" s="109">
        <f>MAX(TankInitial_L+INDEX(ActiveMonthlyRain,1)*RoofArea_m2*CollectionEff-MIN(DailyDemand_L*INDEX('Rainfall Data'!$E$15:$E$26,1),MAX(TankInitial_L+INDEX(ActiveMonthlyRain,1)*RoofArea_m2*CollectionEff-DeadStorage_L,0))-$B39,0)+MAX(M39+INDEX(ActiveMonthlyRain,2)*RoofArea_m2*CollectionEff-MIN(DailyDemand_L*INDEX('Rainfall Data'!$E$15:$E$26,2),MAX(M39+INDEX(ActiveMonthlyRain,2)*RoofArea_m2*CollectionEff-DeadStorage_L,0))-$B39,0)+MAX(N39+INDEX(ActiveMonthlyRain,3)*RoofArea_m2*CollectionEff-MIN(DailyDemand_L*INDEX('Rainfall Data'!$E$15:$E$26,3),MAX(N39+INDEX(ActiveMonthlyRain,3)*RoofArea_m2*CollectionEff-DeadStorage_L,0))-$B39,0)+MAX(O39+INDEX(ActiveMonthlyRain,4)*RoofArea_m2*CollectionEff-MIN(DailyDemand_L*INDEX('Rainfall Data'!$E$15:$E$26,4),MAX(O39+INDEX(ActiveMonthlyRain,4)*RoofArea_m2*CollectionEff-DeadStorage_L,0))-$B39,0)+MAX(P39+INDEX(ActiveMonthlyRain,5)*RoofArea_m2*CollectionEff-MIN(DailyDemand_L*INDEX('Rainfall Data'!$E$15:$E$26,5),MAX(P39+INDEX(ActiveMonthlyRain,5)*RoofArea_m2*CollectionEff-DeadStorage_L,0))-$B39,0)+MAX(Q39+INDEX(ActiveMonthlyRain,6)*RoofArea_m2*CollectionEff-MIN(DailyDemand_L*INDEX('Rainfall Data'!$E$15:$E$26,6),MAX(Q39+INDEX(ActiveMonthlyRain,6)*RoofArea_m2*CollectionEff-DeadStorage_L,0))-$B39,0)+MAX(R39+INDEX(ActiveMonthlyRain,7)*RoofArea_m2*CollectionEff-MIN(DailyDemand_L*INDEX('Rainfall Data'!$E$15:$E$26,7),MAX(R39+INDEX(ActiveMonthlyRain,7)*RoofArea_m2*CollectionEff-DeadStorage_L,0))-$B39,0)+MAX(S39+INDEX(ActiveMonthlyRain,8)*RoofArea_m2*CollectionEff-MIN(DailyDemand_L*INDEX('Rainfall Data'!$E$15:$E$26,8),MAX(S39+INDEX(ActiveMonthlyRain,8)*RoofArea_m2*CollectionEff-DeadStorage_L,0))-$B39,0)+MAX(T39+INDEX(ActiveMonthlyRain,9)*RoofArea_m2*CollectionEff-MIN(DailyDemand_L*INDEX('Rainfall Data'!$E$15:$E$26,9),MAX(T39+INDEX(ActiveMonthlyRain,9)*RoofArea_m2*CollectionEff-DeadStorage_L,0))-$B39,0)+MAX(U39+INDEX(ActiveMonthlyRain,10)*RoofArea_m2*CollectionEff-MIN(DailyDemand_L*INDEX('Rainfall Data'!$E$15:$E$26,10),MAX(U39+INDEX(ActiveMonthlyRain,10)*RoofArea_m2*CollectionEff-DeadStorage_L,0))-$B39,0)+MAX(V39+INDEX(ActiveMonthlyRain,11)*RoofArea_m2*CollectionEff-MIN(DailyDemand_L*INDEX('Rainfall Data'!$E$15:$E$26,11),MAX(V39+INDEX(ActiveMonthlyRain,11)*RoofArea_m2*CollectionEff-DeadStorage_L,0))-$B39,0)+MAX(W39+INDEX(ActiveMonthlyRain,12)*RoofArea_m2*CollectionEff-MIN(DailyDemand_L*INDEX('Rainfall Data'!$E$15:$E$26,12),MAX(W39+INDEX(ActiveMonthlyRain,12)*RoofArea_m2*CollectionEff-DeadStorage_L,0))-$B39,0)</f>
        <v>1283.1009999999987</v>
      </c>
      <c r="E39" s="110">
        <f>SUMPRODUCT(DailyDemand_L*'Rainfall Data'!$E$15:$E$26)-C39</f>
        <v>73723.423500000004</v>
      </c>
      <c r="F39" s="111">
        <f>C39/SUMPRODUCT(DailyDemand_L*'Rainfall Data'!$E$15:$E$26)</f>
        <v>0.25191858447488585</v>
      </c>
      <c r="G39" s="112">
        <f t="shared" si="0"/>
        <v>500</v>
      </c>
      <c r="M39" s="107">
        <f>MIN(MAX(TankInitial_L+INDEX(ActiveMonthlyRain,1)*RoofArea_m2*CollectionEff-DailyDemand_L*INDEX('Rainfall Data'!$E$15:$E$26,1),0),$B39)</f>
        <v>0</v>
      </c>
      <c r="N39" s="107">
        <f>MIN(MAX(M39+INDEX(ActiveMonthlyRain,2)*RoofArea_m2*CollectionEff-DailyDemand_L*INDEX('Rainfall Data'!$E$15:$E$26,2),0),$B39)</f>
        <v>0</v>
      </c>
      <c r="O39" s="107">
        <f>MIN(MAX(N39+INDEX(ActiveMonthlyRain,3)*RoofArea_m2*CollectionEff-DailyDemand_L*INDEX('Rainfall Data'!$E$15:$E$26,3),0),$B39)</f>
        <v>0</v>
      </c>
      <c r="P39" s="107">
        <f>MIN(MAX(O39+INDEX(ActiveMonthlyRain,4)*RoofArea_m2*CollectionEff-DailyDemand_L*INDEX('Rainfall Data'!$E$15:$E$26,4),0),$B39)</f>
        <v>0</v>
      </c>
      <c r="Q39" s="107">
        <f>MIN(MAX(P39+INDEX(ActiveMonthlyRain,5)*RoofArea_m2*CollectionEff-DailyDemand_L*INDEX('Rainfall Data'!$E$15:$E$26,5),0),$B39)</f>
        <v>0</v>
      </c>
      <c r="R39" s="107">
        <f>MIN(MAX(Q39+INDEX(ActiveMonthlyRain,6)*RoofArea_m2*CollectionEff-DailyDemand_L*INDEX('Rainfall Data'!$E$15:$E$26,6),0),$B39)</f>
        <v>0</v>
      </c>
      <c r="S39" s="107">
        <f>MIN(MAX(R39+INDEX(ActiveMonthlyRain,7)*RoofArea_m2*CollectionEff-DailyDemand_L*INDEX('Rainfall Data'!$E$15:$E$26,7),0),$B39)</f>
        <v>2830.8324999999986</v>
      </c>
      <c r="T39" s="107">
        <f>MIN(MAX(S39+INDEX(ActiveMonthlyRain,8)*RoofArea_m2*CollectionEff-DailyDemand_L*INDEX('Rainfall Data'!$E$15:$E$26,8),0),$B39)</f>
        <v>3000</v>
      </c>
      <c r="U39" s="107">
        <f>MIN(MAX(T39+INDEX(ActiveMonthlyRain,9)*RoofArea_m2*CollectionEff-DailyDemand_L*INDEX('Rainfall Data'!$E$15:$E$26,9),0),$B39)</f>
        <v>0</v>
      </c>
      <c r="V39" s="107">
        <f>MIN(MAX(U39+INDEX(ActiveMonthlyRain,10)*RoofArea_m2*CollectionEff-DailyDemand_L*INDEX('Rainfall Data'!$E$15:$E$26,10),0),$B39)</f>
        <v>0</v>
      </c>
      <c r="W39" s="107">
        <f>MIN(MAX(V39+INDEX(ActiveMonthlyRain,11)*RoofArea_m2*CollectionEff-DailyDemand_L*INDEX('Rainfall Data'!$E$15:$E$26,11),0),$B39)</f>
        <v>0</v>
      </c>
      <c r="X39" s="107">
        <f>MIN(MAX(W39+INDEX(ActiveMonthlyRain,12)*RoofArea_m2*CollectionEff-DailyDemand_L*INDEX('Rainfall Data'!$E$15:$E$26,12),0),$B39)</f>
        <v>0</v>
      </c>
    </row>
    <row r="40" spans="2:24" ht="15" customHeight="1" x14ac:dyDescent="0.35">
      <c r="B40" s="102">
        <v>4000</v>
      </c>
      <c r="C40" s="103">
        <f>MIN(DailyDemand_L*INDEX('Rainfall Data'!$E$15:$E$26,1),MAX(TankInitial_L+INDEX(ActiveMonthlyRain,1)*RoofArea_m2*CollectionEff-DeadStorage_L,0))+MIN(DailyDemand_L*INDEX('Rainfall Data'!$E$15:$E$26,2),MAX(M40+INDEX(ActiveMonthlyRain,2)*RoofArea_m2*CollectionEff-DeadStorage_L,0))+MIN(DailyDemand_L*INDEX('Rainfall Data'!$E$15:$E$26,3),MAX(N40+INDEX(ActiveMonthlyRain,3)*RoofArea_m2*CollectionEff-DeadStorage_L,0))+MIN(DailyDemand_L*INDEX('Rainfall Data'!$E$15:$E$26,4),MAX(O40+INDEX(ActiveMonthlyRain,4)*RoofArea_m2*CollectionEff-DeadStorage_L,0))+MIN(DailyDemand_L*INDEX('Rainfall Data'!$E$15:$E$26,5),MAX(P40+INDEX(ActiveMonthlyRain,5)*RoofArea_m2*CollectionEff-DeadStorage_L,0))+MIN(DailyDemand_L*INDEX('Rainfall Data'!$E$15:$E$26,6),MAX(Q40+INDEX(ActiveMonthlyRain,6)*RoofArea_m2*CollectionEff-DeadStorage_L,0))+MIN(DailyDemand_L*INDEX('Rainfall Data'!$E$15:$E$26,7),MAX(R40+INDEX(ActiveMonthlyRain,7)*RoofArea_m2*CollectionEff-DeadStorage_L,0))+MIN(DailyDemand_L*INDEX('Rainfall Data'!$E$15:$E$26,8),MAX(S40+INDEX(ActiveMonthlyRain,8)*RoofArea_m2*CollectionEff-DeadStorage_L,0))+MIN(DailyDemand_L*INDEX('Rainfall Data'!$E$15:$E$26,9),MAX(T40+INDEX(ActiveMonthlyRain,9)*RoofArea_m2*CollectionEff-DeadStorage_L,0))+MIN(DailyDemand_L*INDEX('Rainfall Data'!$E$15:$E$26,10),MAX(U40+INDEX(ActiveMonthlyRain,10)*RoofArea_m2*CollectionEff-DeadStorage_L,0))+MIN(DailyDemand_L*INDEX('Rainfall Data'!$E$15:$E$26,11),MAX(V40+INDEX(ActiveMonthlyRain,11)*RoofArea_m2*CollectionEff-DeadStorage_L,0))+MIN(DailyDemand_L*INDEX('Rainfall Data'!$E$15:$E$26,12),MAX(W40+INDEX(ActiveMonthlyRain,12)*RoofArea_m2*CollectionEff-DeadStorage_L,0))</f>
        <v>25826.576499999999</v>
      </c>
      <c r="D40" s="104">
        <f>MAX(TankInitial_L+INDEX(ActiveMonthlyRain,1)*RoofArea_m2*CollectionEff-MIN(DailyDemand_L*INDEX('Rainfall Data'!$E$15:$E$26,1),MAX(TankInitial_L+INDEX(ActiveMonthlyRain,1)*RoofArea_m2*CollectionEff-DeadStorage_L,0))-$B40,0)+MAX(M40+INDEX(ActiveMonthlyRain,2)*RoofArea_m2*CollectionEff-MIN(DailyDemand_L*INDEX('Rainfall Data'!$E$15:$E$26,2),MAX(M40+INDEX(ActiveMonthlyRain,2)*RoofArea_m2*CollectionEff-DeadStorage_L,0))-$B40,0)+MAX(N40+INDEX(ActiveMonthlyRain,3)*RoofArea_m2*CollectionEff-MIN(DailyDemand_L*INDEX('Rainfall Data'!$E$15:$E$26,3),MAX(N40+INDEX(ActiveMonthlyRain,3)*RoofArea_m2*CollectionEff-DeadStorage_L,0))-$B40,0)+MAX(O40+INDEX(ActiveMonthlyRain,4)*RoofArea_m2*CollectionEff-MIN(DailyDemand_L*INDEX('Rainfall Data'!$E$15:$E$26,4),MAX(O40+INDEX(ActiveMonthlyRain,4)*RoofArea_m2*CollectionEff-DeadStorage_L,0))-$B40,0)+MAX(P40+INDEX(ActiveMonthlyRain,5)*RoofArea_m2*CollectionEff-MIN(DailyDemand_L*INDEX('Rainfall Data'!$E$15:$E$26,5),MAX(P40+INDEX(ActiveMonthlyRain,5)*RoofArea_m2*CollectionEff-DeadStorage_L,0))-$B40,0)+MAX(Q40+INDEX(ActiveMonthlyRain,6)*RoofArea_m2*CollectionEff-MIN(DailyDemand_L*INDEX('Rainfall Data'!$E$15:$E$26,6),MAX(Q40+INDEX(ActiveMonthlyRain,6)*RoofArea_m2*CollectionEff-DeadStorage_L,0))-$B40,0)+MAX(R40+INDEX(ActiveMonthlyRain,7)*RoofArea_m2*CollectionEff-MIN(DailyDemand_L*INDEX('Rainfall Data'!$E$15:$E$26,7),MAX(R40+INDEX(ActiveMonthlyRain,7)*RoofArea_m2*CollectionEff-DeadStorage_L,0))-$B40,0)+MAX(S40+INDEX(ActiveMonthlyRain,8)*RoofArea_m2*CollectionEff-MIN(DailyDemand_L*INDEX('Rainfall Data'!$E$15:$E$26,8),MAX(S40+INDEX(ActiveMonthlyRain,8)*RoofArea_m2*CollectionEff-DeadStorage_L,0))-$B40,0)+MAX(T40+INDEX(ActiveMonthlyRain,9)*RoofArea_m2*CollectionEff-MIN(DailyDemand_L*INDEX('Rainfall Data'!$E$15:$E$26,9),MAX(T40+INDEX(ActiveMonthlyRain,9)*RoofArea_m2*CollectionEff-DeadStorage_L,0))-$B40,0)+MAX(U40+INDEX(ActiveMonthlyRain,10)*RoofArea_m2*CollectionEff-MIN(DailyDemand_L*INDEX('Rainfall Data'!$E$15:$E$26,10),MAX(U40+INDEX(ActiveMonthlyRain,10)*RoofArea_m2*CollectionEff-DeadStorage_L,0))-$B40,0)+MAX(V40+INDEX(ActiveMonthlyRain,11)*RoofArea_m2*CollectionEff-MIN(DailyDemand_L*INDEX('Rainfall Data'!$E$15:$E$26,11),MAX(V40+INDEX(ActiveMonthlyRain,11)*RoofArea_m2*CollectionEff-DeadStorage_L,0))-$B40,0)+MAX(W40+INDEX(ActiveMonthlyRain,12)*RoofArea_m2*CollectionEff-MIN(DailyDemand_L*INDEX('Rainfall Data'!$E$15:$E$26,12),MAX(W40+INDEX(ActiveMonthlyRain,12)*RoofArea_m2*CollectionEff-DeadStorage_L,0))-$B40,0)</f>
        <v>283.10099999999875</v>
      </c>
      <c r="E40" s="105">
        <f>SUMPRODUCT(DailyDemand_L*'Rainfall Data'!$E$15:$E$26)-C40</f>
        <v>72723.423500000004</v>
      </c>
      <c r="F40" s="106">
        <f>C40/SUMPRODUCT(DailyDemand_L*'Rainfall Data'!$E$15:$E$26)</f>
        <v>0.26206571790969052</v>
      </c>
      <c r="G40" s="113">
        <f t="shared" si="0"/>
        <v>1000</v>
      </c>
      <c r="M40" s="107">
        <f>MIN(MAX(TankInitial_L+INDEX(ActiveMonthlyRain,1)*RoofArea_m2*CollectionEff-DailyDemand_L*INDEX('Rainfall Data'!$E$15:$E$26,1),0),$B40)</f>
        <v>0</v>
      </c>
      <c r="N40" s="107">
        <f>MIN(MAX(M40+INDEX(ActiveMonthlyRain,2)*RoofArea_m2*CollectionEff-DailyDemand_L*INDEX('Rainfall Data'!$E$15:$E$26,2),0),$B40)</f>
        <v>0</v>
      </c>
      <c r="O40" s="107">
        <f>MIN(MAX(N40+INDEX(ActiveMonthlyRain,3)*RoofArea_m2*CollectionEff-DailyDemand_L*INDEX('Rainfall Data'!$E$15:$E$26,3),0),$B40)</f>
        <v>0</v>
      </c>
      <c r="P40" s="107">
        <f>MIN(MAX(O40+INDEX(ActiveMonthlyRain,4)*RoofArea_m2*CollectionEff-DailyDemand_L*INDEX('Rainfall Data'!$E$15:$E$26,4),0),$B40)</f>
        <v>0</v>
      </c>
      <c r="Q40" s="107">
        <f>MIN(MAX(P40+INDEX(ActiveMonthlyRain,5)*RoofArea_m2*CollectionEff-DailyDemand_L*INDEX('Rainfall Data'!$E$15:$E$26,5),0),$B40)</f>
        <v>0</v>
      </c>
      <c r="R40" s="107">
        <f>MIN(MAX(Q40+INDEX(ActiveMonthlyRain,6)*RoofArea_m2*CollectionEff-DailyDemand_L*INDEX('Rainfall Data'!$E$15:$E$26,6),0),$B40)</f>
        <v>0</v>
      </c>
      <c r="S40" s="107">
        <f>MIN(MAX(R40+INDEX(ActiveMonthlyRain,7)*RoofArea_m2*CollectionEff-DailyDemand_L*INDEX('Rainfall Data'!$E$15:$E$26,7),0),$B40)</f>
        <v>2830.8324999999986</v>
      </c>
      <c r="T40" s="107">
        <f>MIN(MAX(S40+INDEX(ActiveMonthlyRain,8)*RoofArea_m2*CollectionEff-DailyDemand_L*INDEX('Rainfall Data'!$E$15:$E$26,8),0),$B40)</f>
        <v>4000</v>
      </c>
      <c r="U40" s="107">
        <f>MIN(MAX(T40+INDEX(ActiveMonthlyRain,9)*RoofArea_m2*CollectionEff-DailyDemand_L*INDEX('Rainfall Data'!$E$15:$E$26,9),0),$B40)</f>
        <v>0</v>
      </c>
      <c r="V40" s="107">
        <f>MIN(MAX(U40+INDEX(ActiveMonthlyRain,10)*RoofArea_m2*CollectionEff-DailyDemand_L*INDEX('Rainfall Data'!$E$15:$E$26,10),0),$B40)</f>
        <v>0</v>
      </c>
      <c r="W40" s="107">
        <f>MIN(MAX(V40+INDEX(ActiveMonthlyRain,11)*RoofArea_m2*CollectionEff-DailyDemand_L*INDEX('Rainfall Data'!$E$15:$E$26,11),0),$B40)</f>
        <v>0</v>
      </c>
      <c r="X40" s="107">
        <f>MIN(MAX(W40+INDEX(ActiveMonthlyRain,12)*RoofArea_m2*CollectionEff-DailyDemand_L*INDEX('Rainfall Data'!$E$15:$E$26,12),0),$B40)</f>
        <v>0</v>
      </c>
    </row>
    <row r="41" spans="2:24" ht="15" customHeight="1" x14ac:dyDescent="0.35">
      <c r="B41" s="102">
        <v>5000</v>
      </c>
      <c r="C41" s="108">
        <f>MIN(DailyDemand_L*INDEX('Rainfall Data'!$E$15:$E$26,1),MAX(TankInitial_L+INDEX(ActiveMonthlyRain,1)*RoofArea_m2*CollectionEff-DeadStorage_L,0))+MIN(DailyDemand_L*INDEX('Rainfall Data'!$E$15:$E$26,2),MAX(M41+INDEX(ActiveMonthlyRain,2)*RoofArea_m2*CollectionEff-DeadStorage_L,0))+MIN(DailyDemand_L*INDEX('Rainfall Data'!$E$15:$E$26,3),MAX(N41+INDEX(ActiveMonthlyRain,3)*RoofArea_m2*CollectionEff-DeadStorage_L,0))+MIN(DailyDemand_L*INDEX('Rainfall Data'!$E$15:$E$26,4),MAX(O41+INDEX(ActiveMonthlyRain,4)*RoofArea_m2*CollectionEff-DeadStorage_L,0))+MIN(DailyDemand_L*INDEX('Rainfall Data'!$E$15:$E$26,5),MAX(P41+INDEX(ActiveMonthlyRain,5)*RoofArea_m2*CollectionEff-DeadStorage_L,0))+MIN(DailyDemand_L*INDEX('Rainfall Data'!$E$15:$E$26,6),MAX(Q41+INDEX(ActiveMonthlyRain,6)*RoofArea_m2*CollectionEff-DeadStorage_L,0))+MIN(DailyDemand_L*INDEX('Rainfall Data'!$E$15:$E$26,7),MAX(R41+INDEX(ActiveMonthlyRain,7)*RoofArea_m2*CollectionEff-DeadStorage_L,0))+MIN(DailyDemand_L*INDEX('Rainfall Data'!$E$15:$E$26,8),MAX(S41+INDEX(ActiveMonthlyRain,8)*RoofArea_m2*CollectionEff-DeadStorage_L,0))+MIN(DailyDemand_L*INDEX('Rainfall Data'!$E$15:$E$26,9),MAX(T41+INDEX(ActiveMonthlyRain,9)*RoofArea_m2*CollectionEff-DeadStorage_L,0))+MIN(DailyDemand_L*INDEX('Rainfall Data'!$E$15:$E$26,10),MAX(U41+INDEX(ActiveMonthlyRain,10)*RoofArea_m2*CollectionEff-DeadStorage_L,0))+MIN(DailyDemand_L*INDEX('Rainfall Data'!$E$15:$E$26,11),MAX(V41+INDEX(ActiveMonthlyRain,11)*RoofArea_m2*CollectionEff-DeadStorage_L,0))+MIN(DailyDemand_L*INDEX('Rainfall Data'!$E$15:$E$26,12),MAX(W41+INDEX(ActiveMonthlyRain,12)*RoofArea_m2*CollectionEff-DeadStorage_L,0))</f>
        <v>26109.677499999998</v>
      </c>
      <c r="D41" s="109">
        <f>MAX(TankInitial_L+INDEX(ActiveMonthlyRain,1)*RoofArea_m2*CollectionEff-MIN(DailyDemand_L*INDEX('Rainfall Data'!$E$15:$E$26,1),MAX(TankInitial_L+INDEX(ActiveMonthlyRain,1)*RoofArea_m2*CollectionEff-DeadStorage_L,0))-$B41,0)+MAX(M41+INDEX(ActiveMonthlyRain,2)*RoofArea_m2*CollectionEff-MIN(DailyDemand_L*INDEX('Rainfall Data'!$E$15:$E$26,2),MAX(M41+INDEX(ActiveMonthlyRain,2)*RoofArea_m2*CollectionEff-DeadStorage_L,0))-$B41,0)+MAX(N41+INDEX(ActiveMonthlyRain,3)*RoofArea_m2*CollectionEff-MIN(DailyDemand_L*INDEX('Rainfall Data'!$E$15:$E$26,3),MAX(N41+INDEX(ActiveMonthlyRain,3)*RoofArea_m2*CollectionEff-DeadStorage_L,0))-$B41,0)+MAX(O41+INDEX(ActiveMonthlyRain,4)*RoofArea_m2*CollectionEff-MIN(DailyDemand_L*INDEX('Rainfall Data'!$E$15:$E$26,4),MAX(O41+INDEX(ActiveMonthlyRain,4)*RoofArea_m2*CollectionEff-DeadStorage_L,0))-$B41,0)+MAX(P41+INDEX(ActiveMonthlyRain,5)*RoofArea_m2*CollectionEff-MIN(DailyDemand_L*INDEX('Rainfall Data'!$E$15:$E$26,5),MAX(P41+INDEX(ActiveMonthlyRain,5)*RoofArea_m2*CollectionEff-DeadStorage_L,0))-$B41,0)+MAX(Q41+INDEX(ActiveMonthlyRain,6)*RoofArea_m2*CollectionEff-MIN(DailyDemand_L*INDEX('Rainfall Data'!$E$15:$E$26,6),MAX(Q41+INDEX(ActiveMonthlyRain,6)*RoofArea_m2*CollectionEff-DeadStorage_L,0))-$B41,0)+MAX(R41+INDEX(ActiveMonthlyRain,7)*RoofArea_m2*CollectionEff-MIN(DailyDemand_L*INDEX('Rainfall Data'!$E$15:$E$26,7),MAX(R41+INDEX(ActiveMonthlyRain,7)*RoofArea_m2*CollectionEff-DeadStorage_L,0))-$B41,0)+MAX(S41+INDEX(ActiveMonthlyRain,8)*RoofArea_m2*CollectionEff-MIN(DailyDemand_L*INDEX('Rainfall Data'!$E$15:$E$26,8),MAX(S41+INDEX(ActiveMonthlyRain,8)*RoofArea_m2*CollectionEff-DeadStorage_L,0))-$B41,0)+MAX(T41+INDEX(ActiveMonthlyRain,9)*RoofArea_m2*CollectionEff-MIN(DailyDemand_L*INDEX('Rainfall Data'!$E$15:$E$26,9),MAX(T41+INDEX(ActiveMonthlyRain,9)*RoofArea_m2*CollectionEff-DeadStorage_L,0))-$B41,0)+MAX(U41+INDEX(ActiveMonthlyRain,10)*RoofArea_m2*CollectionEff-MIN(DailyDemand_L*INDEX('Rainfall Data'!$E$15:$E$26,10),MAX(U41+INDEX(ActiveMonthlyRain,10)*RoofArea_m2*CollectionEff-DeadStorage_L,0))-$B41,0)+MAX(V41+INDEX(ActiveMonthlyRain,11)*RoofArea_m2*CollectionEff-MIN(DailyDemand_L*INDEX('Rainfall Data'!$E$15:$E$26,11),MAX(V41+INDEX(ActiveMonthlyRain,11)*RoofArea_m2*CollectionEff-DeadStorage_L,0))-$B41,0)+MAX(W41+INDEX(ActiveMonthlyRain,12)*RoofArea_m2*CollectionEff-MIN(DailyDemand_L*INDEX('Rainfall Data'!$E$15:$E$26,12),MAX(W41+INDEX(ActiveMonthlyRain,12)*RoofArea_m2*CollectionEff-DeadStorage_L,0))-$B41,0)</f>
        <v>0</v>
      </c>
      <c r="E41" s="110">
        <f>SUMPRODUCT(DailyDemand_L*'Rainfall Data'!$E$15:$E$26)-C41</f>
        <v>72440.322500000009</v>
      </c>
      <c r="F41" s="111">
        <f>C41/SUMPRODUCT(DailyDemand_L*'Rainfall Data'!$E$15:$E$26)</f>
        <v>0.2649383815322171</v>
      </c>
      <c r="G41" s="112">
        <f t="shared" si="0"/>
        <v>283.10099999999875</v>
      </c>
      <c r="M41" s="107">
        <f>MIN(MAX(TankInitial_L+INDEX(ActiveMonthlyRain,1)*RoofArea_m2*CollectionEff-DailyDemand_L*INDEX('Rainfall Data'!$E$15:$E$26,1),0),$B41)</f>
        <v>0</v>
      </c>
      <c r="N41" s="107">
        <f>MIN(MAX(M41+INDEX(ActiveMonthlyRain,2)*RoofArea_m2*CollectionEff-DailyDemand_L*INDEX('Rainfall Data'!$E$15:$E$26,2),0),$B41)</f>
        <v>0</v>
      </c>
      <c r="O41" s="107">
        <f>MIN(MAX(N41+INDEX(ActiveMonthlyRain,3)*RoofArea_m2*CollectionEff-DailyDemand_L*INDEX('Rainfall Data'!$E$15:$E$26,3),0),$B41)</f>
        <v>0</v>
      </c>
      <c r="P41" s="107">
        <f>MIN(MAX(O41+INDEX(ActiveMonthlyRain,4)*RoofArea_m2*CollectionEff-DailyDemand_L*INDEX('Rainfall Data'!$E$15:$E$26,4),0),$B41)</f>
        <v>0</v>
      </c>
      <c r="Q41" s="107">
        <f>MIN(MAX(P41+INDEX(ActiveMonthlyRain,5)*RoofArea_m2*CollectionEff-DailyDemand_L*INDEX('Rainfall Data'!$E$15:$E$26,5),0),$B41)</f>
        <v>0</v>
      </c>
      <c r="R41" s="107">
        <f>MIN(MAX(Q41+INDEX(ActiveMonthlyRain,6)*RoofArea_m2*CollectionEff-DailyDemand_L*INDEX('Rainfall Data'!$E$15:$E$26,6),0),$B41)</f>
        <v>0</v>
      </c>
      <c r="S41" s="107">
        <f>MIN(MAX(R41+INDEX(ActiveMonthlyRain,7)*RoofArea_m2*CollectionEff-DailyDemand_L*INDEX('Rainfall Data'!$E$15:$E$26,7),0),$B41)</f>
        <v>2830.8324999999986</v>
      </c>
      <c r="T41" s="107">
        <f>MIN(MAX(S41+INDEX(ActiveMonthlyRain,8)*RoofArea_m2*CollectionEff-DailyDemand_L*INDEX('Rainfall Data'!$E$15:$E$26,8),0),$B41)</f>
        <v>4283.1009999999987</v>
      </c>
      <c r="U41" s="107">
        <f>MIN(MAX(T41+INDEX(ActiveMonthlyRain,9)*RoofArea_m2*CollectionEff-DailyDemand_L*INDEX('Rainfall Data'!$E$15:$E$26,9),0),$B41)</f>
        <v>0</v>
      </c>
      <c r="V41" s="107">
        <f>MIN(MAX(U41+INDEX(ActiveMonthlyRain,10)*RoofArea_m2*CollectionEff-DailyDemand_L*INDEX('Rainfall Data'!$E$15:$E$26,10),0),$B41)</f>
        <v>0</v>
      </c>
      <c r="W41" s="107">
        <f>MIN(MAX(V41+INDEX(ActiveMonthlyRain,11)*RoofArea_m2*CollectionEff-DailyDemand_L*INDEX('Rainfall Data'!$E$15:$E$26,11),0),$B41)</f>
        <v>0</v>
      </c>
      <c r="X41" s="107">
        <f>MIN(MAX(W41+INDEX(ActiveMonthlyRain,12)*RoofArea_m2*CollectionEff-DailyDemand_L*INDEX('Rainfall Data'!$E$15:$E$26,12),0),$B41)</f>
        <v>0</v>
      </c>
    </row>
    <row r="42" spans="2:24" ht="15" customHeight="1" x14ac:dyDescent="0.35">
      <c r="B42" s="102">
        <v>6000</v>
      </c>
      <c r="C42" s="103">
        <f>MIN(DailyDemand_L*INDEX('Rainfall Data'!$E$15:$E$26,1),MAX(TankInitial_L+INDEX(ActiveMonthlyRain,1)*RoofArea_m2*CollectionEff-DeadStorage_L,0))+MIN(DailyDemand_L*INDEX('Rainfall Data'!$E$15:$E$26,2),MAX(M42+INDEX(ActiveMonthlyRain,2)*RoofArea_m2*CollectionEff-DeadStorage_L,0))+MIN(DailyDemand_L*INDEX('Rainfall Data'!$E$15:$E$26,3),MAX(N42+INDEX(ActiveMonthlyRain,3)*RoofArea_m2*CollectionEff-DeadStorage_L,0))+MIN(DailyDemand_L*INDEX('Rainfall Data'!$E$15:$E$26,4),MAX(O42+INDEX(ActiveMonthlyRain,4)*RoofArea_m2*CollectionEff-DeadStorage_L,0))+MIN(DailyDemand_L*INDEX('Rainfall Data'!$E$15:$E$26,5),MAX(P42+INDEX(ActiveMonthlyRain,5)*RoofArea_m2*CollectionEff-DeadStorage_L,0))+MIN(DailyDemand_L*INDEX('Rainfall Data'!$E$15:$E$26,6),MAX(Q42+INDEX(ActiveMonthlyRain,6)*RoofArea_m2*CollectionEff-DeadStorage_L,0))+MIN(DailyDemand_L*INDEX('Rainfall Data'!$E$15:$E$26,7),MAX(R42+INDEX(ActiveMonthlyRain,7)*RoofArea_m2*CollectionEff-DeadStorage_L,0))+MIN(DailyDemand_L*INDEX('Rainfall Data'!$E$15:$E$26,8),MAX(S42+INDEX(ActiveMonthlyRain,8)*RoofArea_m2*CollectionEff-DeadStorage_L,0))+MIN(DailyDemand_L*INDEX('Rainfall Data'!$E$15:$E$26,9),MAX(T42+INDEX(ActiveMonthlyRain,9)*RoofArea_m2*CollectionEff-DeadStorage_L,0))+MIN(DailyDemand_L*INDEX('Rainfall Data'!$E$15:$E$26,10),MAX(U42+INDEX(ActiveMonthlyRain,10)*RoofArea_m2*CollectionEff-DeadStorage_L,0))+MIN(DailyDemand_L*INDEX('Rainfall Data'!$E$15:$E$26,11),MAX(V42+INDEX(ActiveMonthlyRain,11)*RoofArea_m2*CollectionEff-DeadStorage_L,0))+MIN(DailyDemand_L*INDEX('Rainfall Data'!$E$15:$E$26,12),MAX(W42+INDEX(ActiveMonthlyRain,12)*RoofArea_m2*CollectionEff-DeadStorage_L,0))</f>
        <v>26109.677499999998</v>
      </c>
      <c r="D42" s="104">
        <f>MAX(TankInitial_L+INDEX(ActiveMonthlyRain,1)*RoofArea_m2*CollectionEff-MIN(DailyDemand_L*INDEX('Rainfall Data'!$E$15:$E$26,1),MAX(TankInitial_L+INDEX(ActiveMonthlyRain,1)*RoofArea_m2*CollectionEff-DeadStorage_L,0))-$B42,0)+MAX(M42+INDEX(ActiveMonthlyRain,2)*RoofArea_m2*CollectionEff-MIN(DailyDemand_L*INDEX('Rainfall Data'!$E$15:$E$26,2),MAX(M42+INDEX(ActiveMonthlyRain,2)*RoofArea_m2*CollectionEff-DeadStorage_L,0))-$B42,0)+MAX(N42+INDEX(ActiveMonthlyRain,3)*RoofArea_m2*CollectionEff-MIN(DailyDemand_L*INDEX('Rainfall Data'!$E$15:$E$26,3),MAX(N42+INDEX(ActiveMonthlyRain,3)*RoofArea_m2*CollectionEff-DeadStorage_L,0))-$B42,0)+MAX(O42+INDEX(ActiveMonthlyRain,4)*RoofArea_m2*CollectionEff-MIN(DailyDemand_L*INDEX('Rainfall Data'!$E$15:$E$26,4),MAX(O42+INDEX(ActiveMonthlyRain,4)*RoofArea_m2*CollectionEff-DeadStorage_L,0))-$B42,0)+MAX(P42+INDEX(ActiveMonthlyRain,5)*RoofArea_m2*CollectionEff-MIN(DailyDemand_L*INDEX('Rainfall Data'!$E$15:$E$26,5),MAX(P42+INDEX(ActiveMonthlyRain,5)*RoofArea_m2*CollectionEff-DeadStorage_L,0))-$B42,0)+MAX(Q42+INDEX(ActiveMonthlyRain,6)*RoofArea_m2*CollectionEff-MIN(DailyDemand_L*INDEX('Rainfall Data'!$E$15:$E$26,6),MAX(Q42+INDEX(ActiveMonthlyRain,6)*RoofArea_m2*CollectionEff-DeadStorage_L,0))-$B42,0)+MAX(R42+INDEX(ActiveMonthlyRain,7)*RoofArea_m2*CollectionEff-MIN(DailyDemand_L*INDEX('Rainfall Data'!$E$15:$E$26,7),MAX(R42+INDEX(ActiveMonthlyRain,7)*RoofArea_m2*CollectionEff-DeadStorage_L,0))-$B42,0)+MAX(S42+INDEX(ActiveMonthlyRain,8)*RoofArea_m2*CollectionEff-MIN(DailyDemand_L*INDEX('Rainfall Data'!$E$15:$E$26,8),MAX(S42+INDEX(ActiveMonthlyRain,8)*RoofArea_m2*CollectionEff-DeadStorage_L,0))-$B42,0)+MAX(T42+INDEX(ActiveMonthlyRain,9)*RoofArea_m2*CollectionEff-MIN(DailyDemand_L*INDEX('Rainfall Data'!$E$15:$E$26,9),MAX(T42+INDEX(ActiveMonthlyRain,9)*RoofArea_m2*CollectionEff-DeadStorage_L,0))-$B42,0)+MAX(U42+INDEX(ActiveMonthlyRain,10)*RoofArea_m2*CollectionEff-MIN(DailyDemand_L*INDEX('Rainfall Data'!$E$15:$E$26,10),MAX(U42+INDEX(ActiveMonthlyRain,10)*RoofArea_m2*CollectionEff-DeadStorage_L,0))-$B42,0)+MAX(V42+INDEX(ActiveMonthlyRain,11)*RoofArea_m2*CollectionEff-MIN(DailyDemand_L*INDEX('Rainfall Data'!$E$15:$E$26,11),MAX(V42+INDEX(ActiveMonthlyRain,11)*RoofArea_m2*CollectionEff-DeadStorage_L,0))-$B42,0)+MAX(W42+INDEX(ActiveMonthlyRain,12)*RoofArea_m2*CollectionEff-MIN(DailyDemand_L*INDEX('Rainfall Data'!$E$15:$E$26,12),MAX(W42+INDEX(ActiveMonthlyRain,12)*RoofArea_m2*CollectionEff-DeadStorage_L,0))-$B42,0)</f>
        <v>0</v>
      </c>
      <c r="E42" s="105">
        <f>SUMPRODUCT(DailyDemand_L*'Rainfall Data'!$E$15:$E$26)-C42</f>
        <v>72440.322500000009</v>
      </c>
      <c r="F42" s="106">
        <f>C42/SUMPRODUCT(DailyDemand_L*'Rainfall Data'!$E$15:$E$26)</f>
        <v>0.2649383815322171</v>
      </c>
      <c r="G42" s="113">
        <f t="shared" si="0"/>
        <v>0</v>
      </c>
      <c r="M42" s="107">
        <f>MIN(MAX(TankInitial_L+INDEX(ActiveMonthlyRain,1)*RoofArea_m2*CollectionEff-DailyDemand_L*INDEX('Rainfall Data'!$E$15:$E$26,1),0),$B42)</f>
        <v>0</v>
      </c>
      <c r="N42" s="107">
        <f>MIN(MAX(M42+INDEX(ActiveMonthlyRain,2)*RoofArea_m2*CollectionEff-DailyDemand_L*INDEX('Rainfall Data'!$E$15:$E$26,2),0),$B42)</f>
        <v>0</v>
      </c>
      <c r="O42" s="107">
        <f>MIN(MAX(N42+INDEX(ActiveMonthlyRain,3)*RoofArea_m2*CollectionEff-DailyDemand_L*INDEX('Rainfall Data'!$E$15:$E$26,3),0),$B42)</f>
        <v>0</v>
      </c>
      <c r="P42" s="107">
        <f>MIN(MAX(O42+INDEX(ActiveMonthlyRain,4)*RoofArea_m2*CollectionEff-DailyDemand_L*INDEX('Rainfall Data'!$E$15:$E$26,4),0),$B42)</f>
        <v>0</v>
      </c>
      <c r="Q42" s="107">
        <f>MIN(MAX(P42+INDEX(ActiveMonthlyRain,5)*RoofArea_m2*CollectionEff-DailyDemand_L*INDEX('Rainfall Data'!$E$15:$E$26,5),0),$B42)</f>
        <v>0</v>
      </c>
      <c r="R42" s="107">
        <f>MIN(MAX(Q42+INDEX(ActiveMonthlyRain,6)*RoofArea_m2*CollectionEff-DailyDemand_L*INDEX('Rainfall Data'!$E$15:$E$26,6),0),$B42)</f>
        <v>0</v>
      </c>
      <c r="S42" s="107">
        <f>MIN(MAX(R42+INDEX(ActiveMonthlyRain,7)*RoofArea_m2*CollectionEff-DailyDemand_L*INDEX('Rainfall Data'!$E$15:$E$26,7),0),$B42)</f>
        <v>2830.8324999999986</v>
      </c>
      <c r="T42" s="107">
        <f>MIN(MAX(S42+INDEX(ActiveMonthlyRain,8)*RoofArea_m2*CollectionEff-DailyDemand_L*INDEX('Rainfall Data'!$E$15:$E$26,8),0),$B42)</f>
        <v>4283.1009999999987</v>
      </c>
      <c r="U42" s="107">
        <f>MIN(MAX(T42+INDEX(ActiveMonthlyRain,9)*RoofArea_m2*CollectionEff-DailyDemand_L*INDEX('Rainfall Data'!$E$15:$E$26,9),0),$B42)</f>
        <v>0</v>
      </c>
      <c r="V42" s="107">
        <f>MIN(MAX(U42+INDEX(ActiveMonthlyRain,10)*RoofArea_m2*CollectionEff-DailyDemand_L*INDEX('Rainfall Data'!$E$15:$E$26,10),0),$B42)</f>
        <v>0</v>
      </c>
      <c r="W42" s="107">
        <f>MIN(MAX(V42+INDEX(ActiveMonthlyRain,11)*RoofArea_m2*CollectionEff-DailyDemand_L*INDEX('Rainfall Data'!$E$15:$E$26,11),0),$B42)</f>
        <v>0</v>
      </c>
      <c r="X42" s="107">
        <f>MIN(MAX(W42+INDEX(ActiveMonthlyRain,12)*RoofArea_m2*CollectionEff-DailyDemand_L*INDEX('Rainfall Data'!$E$15:$E$26,12),0),$B42)</f>
        <v>0</v>
      </c>
    </row>
    <row r="43" spans="2:24" ht="15" customHeight="1" x14ac:dyDescent="0.35">
      <c r="B43" s="102">
        <v>7000</v>
      </c>
      <c r="C43" s="108">
        <f>MIN(DailyDemand_L*INDEX('Rainfall Data'!$E$15:$E$26,1),MAX(TankInitial_L+INDEX(ActiveMonthlyRain,1)*RoofArea_m2*CollectionEff-DeadStorage_L,0))+MIN(DailyDemand_L*INDEX('Rainfall Data'!$E$15:$E$26,2),MAX(M43+INDEX(ActiveMonthlyRain,2)*RoofArea_m2*CollectionEff-DeadStorage_L,0))+MIN(DailyDemand_L*INDEX('Rainfall Data'!$E$15:$E$26,3),MAX(N43+INDEX(ActiveMonthlyRain,3)*RoofArea_m2*CollectionEff-DeadStorage_L,0))+MIN(DailyDemand_L*INDEX('Rainfall Data'!$E$15:$E$26,4),MAX(O43+INDEX(ActiveMonthlyRain,4)*RoofArea_m2*CollectionEff-DeadStorage_L,0))+MIN(DailyDemand_L*INDEX('Rainfall Data'!$E$15:$E$26,5),MAX(P43+INDEX(ActiveMonthlyRain,5)*RoofArea_m2*CollectionEff-DeadStorage_L,0))+MIN(DailyDemand_L*INDEX('Rainfall Data'!$E$15:$E$26,6),MAX(Q43+INDEX(ActiveMonthlyRain,6)*RoofArea_m2*CollectionEff-DeadStorage_L,0))+MIN(DailyDemand_L*INDEX('Rainfall Data'!$E$15:$E$26,7),MAX(R43+INDEX(ActiveMonthlyRain,7)*RoofArea_m2*CollectionEff-DeadStorage_L,0))+MIN(DailyDemand_L*INDEX('Rainfall Data'!$E$15:$E$26,8),MAX(S43+INDEX(ActiveMonthlyRain,8)*RoofArea_m2*CollectionEff-DeadStorage_L,0))+MIN(DailyDemand_L*INDEX('Rainfall Data'!$E$15:$E$26,9),MAX(T43+INDEX(ActiveMonthlyRain,9)*RoofArea_m2*CollectionEff-DeadStorage_L,0))+MIN(DailyDemand_L*INDEX('Rainfall Data'!$E$15:$E$26,10),MAX(U43+INDEX(ActiveMonthlyRain,10)*RoofArea_m2*CollectionEff-DeadStorage_L,0))+MIN(DailyDemand_L*INDEX('Rainfall Data'!$E$15:$E$26,11),MAX(V43+INDEX(ActiveMonthlyRain,11)*RoofArea_m2*CollectionEff-DeadStorage_L,0))+MIN(DailyDemand_L*INDEX('Rainfall Data'!$E$15:$E$26,12),MAX(W43+INDEX(ActiveMonthlyRain,12)*RoofArea_m2*CollectionEff-DeadStorage_L,0))</f>
        <v>26109.677499999998</v>
      </c>
      <c r="D43" s="109">
        <f>MAX(TankInitial_L+INDEX(ActiveMonthlyRain,1)*RoofArea_m2*CollectionEff-MIN(DailyDemand_L*INDEX('Rainfall Data'!$E$15:$E$26,1),MAX(TankInitial_L+INDEX(ActiveMonthlyRain,1)*RoofArea_m2*CollectionEff-DeadStorage_L,0))-$B43,0)+MAX(M43+INDEX(ActiveMonthlyRain,2)*RoofArea_m2*CollectionEff-MIN(DailyDemand_L*INDEX('Rainfall Data'!$E$15:$E$26,2),MAX(M43+INDEX(ActiveMonthlyRain,2)*RoofArea_m2*CollectionEff-DeadStorage_L,0))-$B43,0)+MAX(N43+INDEX(ActiveMonthlyRain,3)*RoofArea_m2*CollectionEff-MIN(DailyDemand_L*INDEX('Rainfall Data'!$E$15:$E$26,3),MAX(N43+INDEX(ActiveMonthlyRain,3)*RoofArea_m2*CollectionEff-DeadStorage_L,0))-$B43,0)+MAX(O43+INDEX(ActiveMonthlyRain,4)*RoofArea_m2*CollectionEff-MIN(DailyDemand_L*INDEX('Rainfall Data'!$E$15:$E$26,4),MAX(O43+INDEX(ActiveMonthlyRain,4)*RoofArea_m2*CollectionEff-DeadStorage_L,0))-$B43,0)+MAX(P43+INDEX(ActiveMonthlyRain,5)*RoofArea_m2*CollectionEff-MIN(DailyDemand_L*INDEX('Rainfall Data'!$E$15:$E$26,5),MAX(P43+INDEX(ActiveMonthlyRain,5)*RoofArea_m2*CollectionEff-DeadStorage_L,0))-$B43,0)+MAX(Q43+INDEX(ActiveMonthlyRain,6)*RoofArea_m2*CollectionEff-MIN(DailyDemand_L*INDEX('Rainfall Data'!$E$15:$E$26,6),MAX(Q43+INDEX(ActiveMonthlyRain,6)*RoofArea_m2*CollectionEff-DeadStorage_L,0))-$B43,0)+MAX(R43+INDEX(ActiveMonthlyRain,7)*RoofArea_m2*CollectionEff-MIN(DailyDemand_L*INDEX('Rainfall Data'!$E$15:$E$26,7),MAX(R43+INDEX(ActiveMonthlyRain,7)*RoofArea_m2*CollectionEff-DeadStorage_L,0))-$B43,0)+MAX(S43+INDEX(ActiveMonthlyRain,8)*RoofArea_m2*CollectionEff-MIN(DailyDemand_L*INDEX('Rainfall Data'!$E$15:$E$26,8),MAX(S43+INDEX(ActiveMonthlyRain,8)*RoofArea_m2*CollectionEff-DeadStorage_L,0))-$B43,0)+MAX(T43+INDEX(ActiveMonthlyRain,9)*RoofArea_m2*CollectionEff-MIN(DailyDemand_L*INDEX('Rainfall Data'!$E$15:$E$26,9),MAX(T43+INDEX(ActiveMonthlyRain,9)*RoofArea_m2*CollectionEff-DeadStorage_L,0))-$B43,0)+MAX(U43+INDEX(ActiveMonthlyRain,10)*RoofArea_m2*CollectionEff-MIN(DailyDemand_L*INDEX('Rainfall Data'!$E$15:$E$26,10),MAX(U43+INDEX(ActiveMonthlyRain,10)*RoofArea_m2*CollectionEff-DeadStorage_L,0))-$B43,0)+MAX(V43+INDEX(ActiveMonthlyRain,11)*RoofArea_m2*CollectionEff-MIN(DailyDemand_L*INDEX('Rainfall Data'!$E$15:$E$26,11),MAX(V43+INDEX(ActiveMonthlyRain,11)*RoofArea_m2*CollectionEff-DeadStorage_L,0))-$B43,0)+MAX(W43+INDEX(ActiveMonthlyRain,12)*RoofArea_m2*CollectionEff-MIN(DailyDemand_L*INDEX('Rainfall Data'!$E$15:$E$26,12),MAX(W43+INDEX(ActiveMonthlyRain,12)*RoofArea_m2*CollectionEff-DeadStorage_L,0))-$B43,0)</f>
        <v>0</v>
      </c>
      <c r="E43" s="110">
        <f>SUMPRODUCT(DailyDemand_L*'Rainfall Data'!$E$15:$E$26)-C43</f>
        <v>72440.322500000009</v>
      </c>
      <c r="F43" s="111">
        <f>C43/SUMPRODUCT(DailyDemand_L*'Rainfall Data'!$E$15:$E$26)</f>
        <v>0.2649383815322171</v>
      </c>
      <c r="G43" s="112">
        <f t="shared" si="0"/>
        <v>0</v>
      </c>
      <c r="M43" s="107">
        <f>MIN(MAX(TankInitial_L+INDEX(ActiveMonthlyRain,1)*RoofArea_m2*CollectionEff-DailyDemand_L*INDEX('Rainfall Data'!$E$15:$E$26,1),0),$B43)</f>
        <v>0</v>
      </c>
      <c r="N43" s="107">
        <f>MIN(MAX(M43+INDEX(ActiveMonthlyRain,2)*RoofArea_m2*CollectionEff-DailyDemand_L*INDEX('Rainfall Data'!$E$15:$E$26,2),0),$B43)</f>
        <v>0</v>
      </c>
      <c r="O43" s="107">
        <f>MIN(MAX(N43+INDEX(ActiveMonthlyRain,3)*RoofArea_m2*CollectionEff-DailyDemand_L*INDEX('Rainfall Data'!$E$15:$E$26,3),0),$B43)</f>
        <v>0</v>
      </c>
      <c r="P43" s="107">
        <f>MIN(MAX(O43+INDEX(ActiveMonthlyRain,4)*RoofArea_m2*CollectionEff-DailyDemand_L*INDEX('Rainfall Data'!$E$15:$E$26,4),0),$B43)</f>
        <v>0</v>
      </c>
      <c r="Q43" s="107">
        <f>MIN(MAX(P43+INDEX(ActiveMonthlyRain,5)*RoofArea_m2*CollectionEff-DailyDemand_L*INDEX('Rainfall Data'!$E$15:$E$26,5),0),$B43)</f>
        <v>0</v>
      </c>
      <c r="R43" s="107">
        <f>MIN(MAX(Q43+INDEX(ActiveMonthlyRain,6)*RoofArea_m2*CollectionEff-DailyDemand_L*INDEX('Rainfall Data'!$E$15:$E$26,6),0),$B43)</f>
        <v>0</v>
      </c>
      <c r="S43" s="107">
        <f>MIN(MAX(R43+INDEX(ActiveMonthlyRain,7)*RoofArea_m2*CollectionEff-DailyDemand_L*INDEX('Rainfall Data'!$E$15:$E$26,7),0),$B43)</f>
        <v>2830.8324999999986</v>
      </c>
      <c r="T43" s="107">
        <f>MIN(MAX(S43+INDEX(ActiveMonthlyRain,8)*RoofArea_m2*CollectionEff-DailyDemand_L*INDEX('Rainfall Data'!$E$15:$E$26,8),0),$B43)</f>
        <v>4283.1009999999987</v>
      </c>
      <c r="U43" s="107">
        <f>MIN(MAX(T43+INDEX(ActiveMonthlyRain,9)*RoofArea_m2*CollectionEff-DailyDemand_L*INDEX('Rainfall Data'!$E$15:$E$26,9),0),$B43)</f>
        <v>0</v>
      </c>
      <c r="V43" s="107">
        <f>MIN(MAX(U43+INDEX(ActiveMonthlyRain,10)*RoofArea_m2*CollectionEff-DailyDemand_L*INDEX('Rainfall Data'!$E$15:$E$26,10),0),$B43)</f>
        <v>0</v>
      </c>
      <c r="W43" s="107">
        <f>MIN(MAX(V43+INDEX(ActiveMonthlyRain,11)*RoofArea_m2*CollectionEff-DailyDemand_L*INDEX('Rainfall Data'!$E$15:$E$26,11),0),$B43)</f>
        <v>0</v>
      </c>
      <c r="X43" s="107">
        <f>MIN(MAX(W43+INDEX(ActiveMonthlyRain,12)*RoofArea_m2*CollectionEff-DailyDemand_L*INDEX('Rainfall Data'!$E$15:$E$26,12),0),$B43)</f>
        <v>0</v>
      </c>
    </row>
    <row r="44" spans="2:24" ht="15" customHeight="1" x14ac:dyDescent="0.35">
      <c r="B44" s="102">
        <v>8000</v>
      </c>
      <c r="C44" s="103">
        <f>MIN(DailyDemand_L*INDEX('Rainfall Data'!$E$15:$E$26,1),MAX(TankInitial_L+INDEX(ActiveMonthlyRain,1)*RoofArea_m2*CollectionEff-DeadStorage_L,0))+MIN(DailyDemand_L*INDEX('Rainfall Data'!$E$15:$E$26,2),MAX(M44+INDEX(ActiveMonthlyRain,2)*RoofArea_m2*CollectionEff-DeadStorage_L,0))+MIN(DailyDemand_L*INDEX('Rainfall Data'!$E$15:$E$26,3),MAX(N44+INDEX(ActiveMonthlyRain,3)*RoofArea_m2*CollectionEff-DeadStorage_L,0))+MIN(DailyDemand_L*INDEX('Rainfall Data'!$E$15:$E$26,4),MAX(O44+INDEX(ActiveMonthlyRain,4)*RoofArea_m2*CollectionEff-DeadStorage_L,0))+MIN(DailyDemand_L*INDEX('Rainfall Data'!$E$15:$E$26,5),MAX(P44+INDEX(ActiveMonthlyRain,5)*RoofArea_m2*CollectionEff-DeadStorage_L,0))+MIN(DailyDemand_L*INDEX('Rainfall Data'!$E$15:$E$26,6),MAX(Q44+INDEX(ActiveMonthlyRain,6)*RoofArea_m2*CollectionEff-DeadStorage_L,0))+MIN(DailyDemand_L*INDEX('Rainfall Data'!$E$15:$E$26,7),MAX(R44+INDEX(ActiveMonthlyRain,7)*RoofArea_m2*CollectionEff-DeadStorage_L,0))+MIN(DailyDemand_L*INDEX('Rainfall Data'!$E$15:$E$26,8),MAX(S44+INDEX(ActiveMonthlyRain,8)*RoofArea_m2*CollectionEff-DeadStorage_L,0))+MIN(DailyDemand_L*INDEX('Rainfall Data'!$E$15:$E$26,9),MAX(T44+INDEX(ActiveMonthlyRain,9)*RoofArea_m2*CollectionEff-DeadStorage_L,0))+MIN(DailyDemand_L*INDEX('Rainfall Data'!$E$15:$E$26,10),MAX(U44+INDEX(ActiveMonthlyRain,10)*RoofArea_m2*CollectionEff-DeadStorage_L,0))+MIN(DailyDemand_L*INDEX('Rainfall Data'!$E$15:$E$26,11),MAX(V44+INDEX(ActiveMonthlyRain,11)*RoofArea_m2*CollectionEff-DeadStorage_L,0))+MIN(DailyDemand_L*INDEX('Rainfall Data'!$E$15:$E$26,12),MAX(W44+INDEX(ActiveMonthlyRain,12)*RoofArea_m2*CollectionEff-DeadStorage_L,0))</f>
        <v>26109.677499999998</v>
      </c>
      <c r="D44" s="104">
        <f>MAX(TankInitial_L+INDEX(ActiveMonthlyRain,1)*RoofArea_m2*CollectionEff-MIN(DailyDemand_L*INDEX('Rainfall Data'!$E$15:$E$26,1),MAX(TankInitial_L+INDEX(ActiveMonthlyRain,1)*RoofArea_m2*CollectionEff-DeadStorage_L,0))-$B44,0)+MAX(M44+INDEX(ActiveMonthlyRain,2)*RoofArea_m2*CollectionEff-MIN(DailyDemand_L*INDEX('Rainfall Data'!$E$15:$E$26,2),MAX(M44+INDEX(ActiveMonthlyRain,2)*RoofArea_m2*CollectionEff-DeadStorage_L,0))-$B44,0)+MAX(N44+INDEX(ActiveMonthlyRain,3)*RoofArea_m2*CollectionEff-MIN(DailyDemand_L*INDEX('Rainfall Data'!$E$15:$E$26,3),MAX(N44+INDEX(ActiveMonthlyRain,3)*RoofArea_m2*CollectionEff-DeadStorage_L,0))-$B44,0)+MAX(O44+INDEX(ActiveMonthlyRain,4)*RoofArea_m2*CollectionEff-MIN(DailyDemand_L*INDEX('Rainfall Data'!$E$15:$E$26,4),MAX(O44+INDEX(ActiveMonthlyRain,4)*RoofArea_m2*CollectionEff-DeadStorage_L,0))-$B44,0)+MAX(P44+INDEX(ActiveMonthlyRain,5)*RoofArea_m2*CollectionEff-MIN(DailyDemand_L*INDEX('Rainfall Data'!$E$15:$E$26,5),MAX(P44+INDEX(ActiveMonthlyRain,5)*RoofArea_m2*CollectionEff-DeadStorage_L,0))-$B44,0)+MAX(Q44+INDEX(ActiveMonthlyRain,6)*RoofArea_m2*CollectionEff-MIN(DailyDemand_L*INDEX('Rainfall Data'!$E$15:$E$26,6),MAX(Q44+INDEX(ActiveMonthlyRain,6)*RoofArea_m2*CollectionEff-DeadStorage_L,0))-$B44,0)+MAX(R44+INDEX(ActiveMonthlyRain,7)*RoofArea_m2*CollectionEff-MIN(DailyDemand_L*INDEX('Rainfall Data'!$E$15:$E$26,7),MAX(R44+INDEX(ActiveMonthlyRain,7)*RoofArea_m2*CollectionEff-DeadStorage_L,0))-$B44,0)+MAX(S44+INDEX(ActiveMonthlyRain,8)*RoofArea_m2*CollectionEff-MIN(DailyDemand_L*INDEX('Rainfall Data'!$E$15:$E$26,8),MAX(S44+INDEX(ActiveMonthlyRain,8)*RoofArea_m2*CollectionEff-DeadStorage_L,0))-$B44,0)+MAX(T44+INDEX(ActiveMonthlyRain,9)*RoofArea_m2*CollectionEff-MIN(DailyDemand_L*INDEX('Rainfall Data'!$E$15:$E$26,9),MAX(T44+INDEX(ActiveMonthlyRain,9)*RoofArea_m2*CollectionEff-DeadStorage_L,0))-$B44,0)+MAX(U44+INDEX(ActiveMonthlyRain,10)*RoofArea_m2*CollectionEff-MIN(DailyDemand_L*INDEX('Rainfall Data'!$E$15:$E$26,10),MAX(U44+INDEX(ActiveMonthlyRain,10)*RoofArea_m2*CollectionEff-DeadStorage_L,0))-$B44,0)+MAX(V44+INDEX(ActiveMonthlyRain,11)*RoofArea_m2*CollectionEff-MIN(DailyDemand_L*INDEX('Rainfall Data'!$E$15:$E$26,11),MAX(V44+INDEX(ActiveMonthlyRain,11)*RoofArea_m2*CollectionEff-DeadStorage_L,0))-$B44,0)+MAX(W44+INDEX(ActiveMonthlyRain,12)*RoofArea_m2*CollectionEff-MIN(DailyDemand_L*INDEX('Rainfall Data'!$E$15:$E$26,12),MAX(W44+INDEX(ActiveMonthlyRain,12)*RoofArea_m2*CollectionEff-DeadStorage_L,0))-$B44,0)</f>
        <v>0</v>
      </c>
      <c r="E44" s="105">
        <f>SUMPRODUCT(DailyDemand_L*'Rainfall Data'!$E$15:$E$26)-C44</f>
        <v>72440.322500000009</v>
      </c>
      <c r="F44" s="106">
        <f>C44/SUMPRODUCT(DailyDemand_L*'Rainfall Data'!$E$15:$E$26)</f>
        <v>0.2649383815322171</v>
      </c>
      <c r="G44" s="113">
        <f t="shared" si="0"/>
        <v>0</v>
      </c>
      <c r="M44" s="107">
        <f>MIN(MAX(TankInitial_L+INDEX(ActiveMonthlyRain,1)*RoofArea_m2*CollectionEff-DailyDemand_L*INDEX('Rainfall Data'!$E$15:$E$26,1),0),$B44)</f>
        <v>0</v>
      </c>
      <c r="N44" s="107">
        <f>MIN(MAX(M44+INDEX(ActiveMonthlyRain,2)*RoofArea_m2*CollectionEff-DailyDemand_L*INDEX('Rainfall Data'!$E$15:$E$26,2),0),$B44)</f>
        <v>0</v>
      </c>
      <c r="O44" s="107">
        <f>MIN(MAX(N44+INDEX(ActiveMonthlyRain,3)*RoofArea_m2*CollectionEff-DailyDemand_L*INDEX('Rainfall Data'!$E$15:$E$26,3),0),$B44)</f>
        <v>0</v>
      </c>
      <c r="P44" s="107">
        <f>MIN(MAX(O44+INDEX(ActiveMonthlyRain,4)*RoofArea_m2*CollectionEff-DailyDemand_L*INDEX('Rainfall Data'!$E$15:$E$26,4),0),$B44)</f>
        <v>0</v>
      </c>
      <c r="Q44" s="107">
        <f>MIN(MAX(P44+INDEX(ActiveMonthlyRain,5)*RoofArea_m2*CollectionEff-DailyDemand_L*INDEX('Rainfall Data'!$E$15:$E$26,5),0),$B44)</f>
        <v>0</v>
      </c>
      <c r="R44" s="107">
        <f>MIN(MAX(Q44+INDEX(ActiveMonthlyRain,6)*RoofArea_m2*CollectionEff-DailyDemand_L*INDEX('Rainfall Data'!$E$15:$E$26,6),0),$B44)</f>
        <v>0</v>
      </c>
      <c r="S44" s="107">
        <f>MIN(MAX(R44+INDEX(ActiveMonthlyRain,7)*RoofArea_m2*CollectionEff-DailyDemand_L*INDEX('Rainfall Data'!$E$15:$E$26,7),0),$B44)</f>
        <v>2830.8324999999986</v>
      </c>
      <c r="T44" s="107">
        <f>MIN(MAX(S44+INDEX(ActiveMonthlyRain,8)*RoofArea_m2*CollectionEff-DailyDemand_L*INDEX('Rainfall Data'!$E$15:$E$26,8),0),$B44)</f>
        <v>4283.1009999999987</v>
      </c>
      <c r="U44" s="107">
        <f>MIN(MAX(T44+INDEX(ActiveMonthlyRain,9)*RoofArea_m2*CollectionEff-DailyDemand_L*INDEX('Rainfall Data'!$E$15:$E$26,9),0),$B44)</f>
        <v>0</v>
      </c>
      <c r="V44" s="107">
        <f>MIN(MAX(U44+INDEX(ActiveMonthlyRain,10)*RoofArea_m2*CollectionEff-DailyDemand_L*INDEX('Rainfall Data'!$E$15:$E$26,10),0),$B44)</f>
        <v>0</v>
      </c>
      <c r="W44" s="107">
        <f>MIN(MAX(V44+INDEX(ActiveMonthlyRain,11)*RoofArea_m2*CollectionEff-DailyDemand_L*INDEX('Rainfall Data'!$E$15:$E$26,11),0),$B44)</f>
        <v>0</v>
      </c>
      <c r="X44" s="107">
        <f>MIN(MAX(W44+INDEX(ActiveMonthlyRain,12)*RoofArea_m2*CollectionEff-DailyDemand_L*INDEX('Rainfall Data'!$E$15:$E$26,12),0),$B44)</f>
        <v>0</v>
      </c>
    </row>
    <row r="45" spans="2:24" ht="15" customHeight="1" x14ac:dyDescent="0.35">
      <c r="B45" s="102">
        <v>10000</v>
      </c>
      <c r="C45" s="108">
        <f>MIN(DailyDemand_L*INDEX('Rainfall Data'!$E$15:$E$26,1),MAX(TankInitial_L+INDEX(ActiveMonthlyRain,1)*RoofArea_m2*CollectionEff-DeadStorage_L,0))+MIN(DailyDemand_L*INDEX('Rainfall Data'!$E$15:$E$26,2),MAX(M45+INDEX(ActiveMonthlyRain,2)*RoofArea_m2*CollectionEff-DeadStorage_L,0))+MIN(DailyDemand_L*INDEX('Rainfall Data'!$E$15:$E$26,3),MAX(N45+INDEX(ActiveMonthlyRain,3)*RoofArea_m2*CollectionEff-DeadStorage_L,0))+MIN(DailyDemand_L*INDEX('Rainfall Data'!$E$15:$E$26,4),MAX(O45+INDEX(ActiveMonthlyRain,4)*RoofArea_m2*CollectionEff-DeadStorage_L,0))+MIN(DailyDemand_L*INDEX('Rainfall Data'!$E$15:$E$26,5),MAX(P45+INDEX(ActiveMonthlyRain,5)*RoofArea_m2*CollectionEff-DeadStorage_L,0))+MIN(DailyDemand_L*INDEX('Rainfall Data'!$E$15:$E$26,6),MAX(Q45+INDEX(ActiveMonthlyRain,6)*RoofArea_m2*CollectionEff-DeadStorage_L,0))+MIN(DailyDemand_L*INDEX('Rainfall Data'!$E$15:$E$26,7),MAX(R45+INDEX(ActiveMonthlyRain,7)*RoofArea_m2*CollectionEff-DeadStorage_L,0))+MIN(DailyDemand_L*INDEX('Rainfall Data'!$E$15:$E$26,8),MAX(S45+INDEX(ActiveMonthlyRain,8)*RoofArea_m2*CollectionEff-DeadStorage_L,0))+MIN(DailyDemand_L*INDEX('Rainfall Data'!$E$15:$E$26,9),MAX(T45+INDEX(ActiveMonthlyRain,9)*RoofArea_m2*CollectionEff-DeadStorage_L,0))+MIN(DailyDemand_L*INDEX('Rainfall Data'!$E$15:$E$26,10),MAX(U45+INDEX(ActiveMonthlyRain,10)*RoofArea_m2*CollectionEff-DeadStorage_L,0))+MIN(DailyDemand_L*INDEX('Rainfall Data'!$E$15:$E$26,11),MAX(V45+INDEX(ActiveMonthlyRain,11)*RoofArea_m2*CollectionEff-DeadStorage_L,0))+MIN(DailyDemand_L*INDEX('Rainfall Data'!$E$15:$E$26,12),MAX(W45+INDEX(ActiveMonthlyRain,12)*RoofArea_m2*CollectionEff-DeadStorage_L,0))</f>
        <v>26109.677499999998</v>
      </c>
      <c r="D45" s="109">
        <f>MAX(TankInitial_L+INDEX(ActiveMonthlyRain,1)*RoofArea_m2*CollectionEff-MIN(DailyDemand_L*INDEX('Rainfall Data'!$E$15:$E$26,1),MAX(TankInitial_L+INDEX(ActiveMonthlyRain,1)*RoofArea_m2*CollectionEff-DeadStorage_L,0))-$B45,0)+MAX(M45+INDEX(ActiveMonthlyRain,2)*RoofArea_m2*CollectionEff-MIN(DailyDemand_L*INDEX('Rainfall Data'!$E$15:$E$26,2),MAX(M45+INDEX(ActiveMonthlyRain,2)*RoofArea_m2*CollectionEff-DeadStorage_L,0))-$B45,0)+MAX(N45+INDEX(ActiveMonthlyRain,3)*RoofArea_m2*CollectionEff-MIN(DailyDemand_L*INDEX('Rainfall Data'!$E$15:$E$26,3),MAX(N45+INDEX(ActiveMonthlyRain,3)*RoofArea_m2*CollectionEff-DeadStorage_L,0))-$B45,0)+MAX(O45+INDEX(ActiveMonthlyRain,4)*RoofArea_m2*CollectionEff-MIN(DailyDemand_L*INDEX('Rainfall Data'!$E$15:$E$26,4),MAX(O45+INDEX(ActiveMonthlyRain,4)*RoofArea_m2*CollectionEff-DeadStorage_L,0))-$B45,0)+MAX(P45+INDEX(ActiveMonthlyRain,5)*RoofArea_m2*CollectionEff-MIN(DailyDemand_L*INDEX('Rainfall Data'!$E$15:$E$26,5),MAX(P45+INDEX(ActiveMonthlyRain,5)*RoofArea_m2*CollectionEff-DeadStorage_L,0))-$B45,0)+MAX(Q45+INDEX(ActiveMonthlyRain,6)*RoofArea_m2*CollectionEff-MIN(DailyDemand_L*INDEX('Rainfall Data'!$E$15:$E$26,6),MAX(Q45+INDEX(ActiveMonthlyRain,6)*RoofArea_m2*CollectionEff-DeadStorage_L,0))-$B45,0)+MAX(R45+INDEX(ActiveMonthlyRain,7)*RoofArea_m2*CollectionEff-MIN(DailyDemand_L*INDEX('Rainfall Data'!$E$15:$E$26,7),MAX(R45+INDEX(ActiveMonthlyRain,7)*RoofArea_m2*CollectionEff-DeadStorage_L,0))-$B45,0)+MAX(S45+INDEX(ActiveMonthlyRain,8)*RoofArea_m2*CollectionEff-MIN(DailyDemand_L*INDEX('Rainfall Data'!$E$15:$E$26,8),MAX(S45+INDEX(ActiveMonthlyRain,8)*RoofArea_m2*CollectionEff-DeadStorage_L,0))-$B45,0)+MAX(T45+INDEX(ActiveMonthlyRain,9)*RoofArea_m2*CollectionEff-MIN(DailyDemand_L*INDEX('Rainfall Data'!$E$15:$E$26,9),MAX(T45+INDEX(ActiveMonthlyRain,9)*RoofArea_m2*CollectionEff-DeadStorage_L,0))-$B45,0)+MAX(U45+INDEX(ActiveMonthlyRain,10)*RoofArea_m2*CollectionEff-MIN(DailyDemand_L*INDEX('Rainfall Data'!$E$15:$E$26,10),MAX(U45+INDEX(ActiveMonthlyRain,10)*RoofArea_m2*CollectionEff-DeadStorage_L,0))-$B45,0)+MAX(V45+INDEX(ActiveMonthlyRain,11)*RoofArea_m2*CollectionEff-MIN(DailyDemand_L*INDEX('Rainfall Data'!$E$15:$E$26,11),MAX(V45+INDEX(ActiveMonthlyRain,11)*RoofArea_m2*CollectionEff-DeadStorage_L,0))-$B45,0)+MAX(W45+INDEX(ActiveMonthlyRain,12)*RoofArea_m2*CollectionEff-MIN(DailyDemand_L*INDEX('Rainfall Data'!$E$15:$E$26,12),MAX(W45+INDEX(ActiveMonthlyRain,12)*RoofArea_m2*CollectionEff-DeadStorage_L,0))-$B45,0)</f>
        <v>0</v>
      </c>
      <c r="E45" s="110">
        <f>SUMPRODUCT(DailyDemand_L*'Rainfall Data'!$E$15:$E$26)-C45</f>
        <v>72440.322500000009</v>
      </c>
      <c r="F45" s="111">
        <f>C45/SUMPRODUCT(DailyDemand_L*'Rainfall Data'!$E$15:$E$26)</f>
        <v>0.2649383815322171</v>
      </c>
      <c r="G45" s="112">
        <f t="shared" si="0"/>
        <v>0</v>
      </c>
      <c r="M45" s="107">
        <f>MIN(MAX(TankInitial_L+INDEX(ActiveMonthlyRain,1)*RoofArea_m2*CollectionEff-DailyDemand_L*INDEX('Rainfall Data'!$E$15:$E$26,1),0),$B45)</f>
        <v>0</v>
      </c>
      <c r="N45" s="107">
        <f>MIN(MAX(M45+INDEX(ActiveMonthlyRain,2)*RoofArea_m2*CollectionEff-DailyDemand_L*INDEX('Rainfall Data'!$E$15:$E$26,2),0),$B45)</f>
        <v>0</v>
      </c>
      <c r="O45" s="107">
        <f>MIN(MAX(N45+INDEX(ActiveMonthlyRain,3)*RoofArea_m2*CollectionEff-DailyDemand_L*INDEX('Rainfall Data'!$E$15:$E$26,3),0),$B45)</f>
        <v>0</v>
      </c>
      <c r="P45" s="107">
        <f>MIN(MAX(O45+INDEX(ActiveMonthlyRain,4)*RoofArea_m2*CollectionEff-DailyDemand_L*INDEX('Rainfall Data'!$E$15:$E$26,4),0),$B45)</f>
        <v>0</v>
      </c>
      <c r="Q45" s="107">
        <f>MIN(MAX(P45+INDEX(ActiveMonthlyRain,5)*RoofArea_m2*CollectionEff-DailyDemand_L*INDEX('Rainfall Data'!$E$15:$E$26,5),0),$B45)</f>
        <v>0</v>
      </c>
      <c r="R45" s="107">
        <f>MIN(MAX(Q45+INDEX(ActiveMonthlyRain,6)*RoofArea_m2*CollectionEff-DailyDemand_L*INDEX('Rainfall Data'!$E$15:$E$26,6),0),$B45)</f>
        <v>0</v>
      </c>
      <c r="S45" s="107">
        <f>MIN(MAX(R45+INDEX(ActiveMonthlyRain,7)*RoofArea_m2*CollectionEff-DailyDemand_L*INDEX('Rainfall Data'!$E$15:$E$26,7),0),$B45)</f>
        <v>2830.8324999999986</v>
      </c>
      <c r="T45" s="107">
        <f>MIN(MAX(S45+INDEX(ActiveMonthlyRain,8)*RoofArea_m2*CollectionEff-DailyDemand_L*INDEX('Rainfall Data'!$E$15:$E$26,8),0),$B45)</f>
        <v>4283.1009999999987</v>
      </c>
      <c r="U45" s="107">
        <f>MIN(MAX(T45+INDEX(ActiveMonthlyRain,9)*RoofArea_m2*CollectionEff-DailyDemand_L*INDEX('Rainfall Data'!$E$15:$E$26,9),0),$B45)</f>
        <v>0</v>
      </c>
      <c r="V45" s="107">
        <f>MIN(MAX(U45+INDEX(ActiveMonthlyRain,10)*RoofArea_m2*CollectionEff-DailyDemand_L*INDEX('Rainfall Data'!$E$15:$E$26,10),0),$B45)</f>
        <v>0</v>
      </c>
      <c r="W45" s="107">
        <f>MIN(MAX(V45+INDEX(ActiveMonthlyRain,11)*RoofArea_m2*CollectionEff-DailyDemand_L*INDEX('Rainfall Data'!$E$15:$E$26,11),0),$B45)</f>
        <v>0</v>
      </c>
      <c r="X45" s="107">
        <f>MIN(MAX(W45+INDEX(ActiveMonthlyRain,12)*RoofArea_m2*CollectionEff-DailyDemand_L*INDEX('Rainfall Data'!$E$15:$E$26,12),0),$B45)</f>
        <v>0</v>
      </c>
    </row>
    <row r="46" spans="2:24" ht="15" customHeight="1" x14ac:dyDescent="0.35">
      <c r="B46" s="102">
        <v>12000</v>
      </c>
      <c r="C46" s="103">
        <f>MIN(DailyDemand_L*INDEX('Rainfall Data'!$E$15:$E$26,1),MAX(TankInitial_L+INDEX(ActiveMonthlyRain,1)*RoofArea_m2*CollectionEff-DeadStorage_L,0))+MIN(DailyDemand_L*INDEX('Rainfall Data'!$E$15:$E$26,2),MAX(M46+INDEX(ActiveMonthlyRain,2)*RoofArea_m2*CollectionEff-DeadStorage_L,0))+MIN(DailyDemand_L*INDEX('Rainfall Data'!$E$15:$E$26,3),MAX(N46+INDEX(ActiveMonthlyRain,3)*RoofArea_m2*CollectionEff-DeadStorage_L,0))+MIN(DailyDemand_L*INDEX('Rainfall Data'!$E$15:$E$26,4),MAX(O46+INDEX(ActiveMonthlyRain,4)*RoofArea_m2*CollectionEff-DeadStorage_L,0))+MIN(DailyDemand_L*INDEX('Rainfall Data'!$E$15:$E$26,5),MAX(P46+INDEX(ActiveMonthlyRain,5)*RoofArea_m2*CollectionEff-DeadStorage_L,0))+MIN(DailyDemand_L*INDEX('Rainfall Data'!$E$15:$E$26,6),MAX(Q46+INDEX(ActiveMonthlyRain,6)*RoofArea_m2*CollectionEff-DeadStorage_L,0))+MIN(DailyDemand_L*INDEX('Rainfall Data'!$E$15:$E$26,7),MAX(R46+INDEX(ActiveMonthlyRain,7)*RoofArea_m2*CollectionEff-DeadStorage_L,0))+MIN(DailyDemand_L*INDEX('Rainfall Data'!$E$15:$E$26,8),MAX(S46+INDEX(ActiveMonthlyRain,8)*RoofArea_m2*CollectionEff-DeadStorage_L,0))+MIN(DailyDemand_L*INDEX('Rainfall Data'!$E$15:$E$26,9),MAX(T46+INDEX(ActiveMonthlyRain,9)*RoofArea_m2*CollectionEff-DeadStorage_L,0))+MIN(DailyDemand_L*INDEX('Rainfall Data'!$E$15:$E$26,10),MAX(U46+INDEX(ActiveMonthlyRain,10)*RoofArea_m2*CollectionEff-DeadStorage_L,0))+MIN(DailyDemand_L*INDEX('Rainfall Data'!$E$15:$E$26,11),MAX(V46+INDEX(ActiveMonthlyRain,11)*RoofArea_m2*CollectionEff-DeadStorage_L,0))+MIN(DailyDemand_L*INDEX('Rainfall Data'!$E$15:$E$26,12),MAX(W46+INDEX(ActiveMonthlyRain,12)*RoofArea_m2*CollectionEff-DeadStorage_L,0))</f>
        <v>26109.677499999998</v>
      </c>
      <c r="D46" s="104">
        <f>MAX(TankInitial_L+INDEX(ActiveMonthlyRain,1)*RoofArea_m2*CollectionEff-MIN(DailyDemand_L*INDEX('Rainfall Data'!$E$15:$E$26,1),MAX(TankInitial_L+INDEX(ActiveMonthlyRain,1)*RoofArea_m2*CollectionEff-DeadStorage_L,0))-$B46,0)+MAX(M46+INDEX(ActiveMonthlyRain,2)*RoofArea_m2*CollectionEff-MIN(DailyDemand_L*INDEX('Rainfall Data'!$E$15:$E$26,2),MAX(M46+INDEX(ActiveMonthlyRain,2)*RoofArea_m2*CollectionEff-DeadStorage_L,0))-$B46,0)+MAX(N46+INDEX(ActiveMonthlyRain,3)*RoofArea_m2*CollectionEff-MIN(DailyDemand_L*INDEX('Rainfall Data'!$E$15:$E$26,3),MAX(N46+INDEX(ActiveMonthlyRain,3)*RoofArea_m2*CollectionEff-DeadStorage_L,0))-$B46,0)+MAX(O46+INDEX(ActiveMonthlyRain,4)*RoofArea_m2*CollectionEff-MIN(DailyDemand_L*INDEX('Rainfall Data'!$E$15:$E$26,4),MAX(O46+INDEX(ActiveMonthlyRain,4)*RoofArea_m2*CollectionEff-DeadStorage_L,0))-$B46,0)+MAX(P46+INDEX(ActiveMonthlyRain,5)*RoofArea_m2*CollectionEff-MIN(DailyDemand_L*INDEX('Rainfall Data'!$E$15:$E$26,5),MAX(P46+INDEX(ActiveMonthlyRain,5)*RoofArea_m2*CollectionEff-DeadStorage_L,0))-$B46,0)+MAX(Q46+INDEX(ActiveMonthlyRain,6)*RoofArea_m2*CollectionEff-MIN(DailyDemand_L*INDEX('Rainfall Data'!$E$15:$E$26,6),MAX(Q46+INDEX(ActiveMonthlyRain,6)*RoofArea_m2*CollectionEff-DeadStorage_L,0))-$B46,0)+MAX(R46+INDEX(ActiveMonthlyRain,7)*RoofArea_m2*CollectionEff-MIN(DailyDemand_L*INDEX('Rainfall Data'!$E$15:$E$26,7),MAX(R46+INDEX(ActiveMonthlyRain,7)*RoofArea_m2*CollectionEff-DeadStorage_L,0))-$B46,0)+MAX(S46+INDEX(ActiveMonthlyRain,8)*RoofArea_m2*CollectionEff-MIN(DailyDemand_L*INDEX('Rainfall Data'!$E$15:$E$26,8),MAX(S46+INDEX(ActiveMonthlyRain,8)*RoofArea_m2*CollectionEff-DeadStorage_L,0))-$B46,0)+MAX(T46+INDEX(ActiveMonthlyRain,9)*RoofArea_m2*CollectionEff-MIN(DailyDemand_L*INDEX('Rainfall Data'!$E$15:$E$26,9),MAX(T46+INDEX(ActiveMonthlyRain,9)*RoofArea_m2*CollectionEff-DeadStorage_L,0))-$B46,0)+MAX(U46+INDEX(ActiveMonthlyRain,10)*RoofArea_m2*CollectionEff-MIN(DailyDemand_L*INDEX('Rainfall Data'!$E$15:$E$26,10),MAX(U46+INDEX(ActiveMonthlyRain,10)*RoofArea_m2*CollectionEff-DeadStorage_L,0))-$B46,0)+MAX(V46+INDEX(ActiveMonthlyRain,11)*RoofArea_m2*CollectionEff-MIN(DailyDemand_L*INDEX('Rainfall Data'!$E$15:$E$26,11),MAX(V46+INDEX(ActiveMonthlyRain,11)*RoofArea_m2*CollectionEff-DeadStorage_L,0))-$B46,0)+MAX(W46+INDEX(ActiveMonthlyRain,12)*RoofArea_m2*CollectionEff-MIN(DailyDemand_L*INDEX('Rainfall Data'!$E$15:$E$26,12),MAX(W46+INDEX(ActiveMonthlyRain,12)*RoofArea_m2*CollectionEff-DeadStorage_L,0))-$B46,0)</f>
        <v>0</v>
      </c>
      <c r="E46" s="105">
        <f>SUMPRODUCT(DailyDemand_L*'Rainfall Data'!$E$15:$E$26)-C46</f>
        <v>72440.322500000009</v>
      </c>
      <c r="F46" s="106">
        <f>C46/SUMPRODUCT(DailyDemand_L*'Rainfall Data'!$E$15:$E$26)</f>
        <v>0.2649383815322171</v>
      </c>
      <c r="G46" s="113">
        <f t="shared" si="0"/>
        <v>0</v>
      </c>
      <c r="M46" s="107">
        <f>MIN(MAX(TankInitial_L+INDEX(ActiveMonthlyRain,1)*RoofArea_m2*CollectionEff-DailyDemand_L*INDEX('Rainfall Data'!$E$15:$E$26,1),0),$B46)</f>
        <v>0</v>
      </c>
      <c r="N46" s="107">
        <f>MIN(MAX(M46+INDEX(ActiveMonthlyRain,2)*RoofArea_m2*CollectionEff-DailyDemand_L*INDEX('Rainfall Data'!$E$15:$E$26,2),0),$B46)</f>
        <v>0</v>
      </c>
      <c r="O46" s="107">
        <f>MIN(MAX(N46+INDEX(ActiveMonthlyRain,3)*RoofArea_m2*CollectionEff-DailyDemand_L*INDEX('Rainfall Data'!$E$15:$E$26,3),0),$B46)</f>
        <v>0</v>
      </c>
      <c r="P46" s="107">
        <f>MIN(MAX(O46+INDEX(ActiveMonthlyRain,4)*RoofArea_m2*CollectionEff-DailyDemand_L*INDEX('Rainfall Data'!$E$15:$E$26,4),0),$B46)</f>
        <v>0</v>
      </c>
      <c r="Q46" s="107">
        <f>MIN(MAX(P46+INDEX(ActiveMonthlyRain,5)*RoofArea_m2*CollectionEff-DailyDemand_L*INDEX('Rainfall Data'!$E$15:$E$26,5),0),$B46)</f>
        <v>0</v>
      </c>
      <c r="R46" s="107">
        <f>MIN(MAX(Q46+INDEX(ActiveMonthlyRain,6)*RoofArea_m2*CollectionEff-DailyDemand_L*INDEX('Rainfall Data'!$E$15:$E$26,6),0),$B46)</f>
        <v>0</v>
      </c>
      <c r="S46" s="107">
        <f>MIN(MAX(R46+INDEX(ActiveMonthlyRain,7)*RoofArea_m2*CollectionEff-DailyDemand_L*INDEX('Rainfall Data'!$E$15:$E$26,7),0),$B46)</f>
        <v>2830.8324999999986</v>
      </c>
      <c r="T46" s="107">
        <f>MIN(MAX(S46+INDEX(ActiveMonthlyRain,8)*RoofArea_m2*CollectionEff-DailyDemand_L*INDEX('Rainfall Data'!$E$15:$E$26,8),0),$B46)</f>
        <v>4283.1009999999987</v>
      </c>
      <c r="U46" s="107">
        <f>MIN(MAX(T46+INDEX(ActiveMonthlyRain,9)*RoofArea_m2*CollectionEff-DailyDemand_L*INDEX('Rainfall Data'!$E$15:$E$26,9),0),$B46)</f>
        <v>0</v>
      </c>
      <c r="V46" s="107">
        <f>MIN(MAX(U46+INDEX(ActiveMonthlyRain,10)*RoofArea_m2*CollectionEff-DailyDemand_L*INDEX('Rainfall Data'!$E$15:$E$26,10),0),$B46)</f>
        <v>0</v>
      </c>
      <c r="W46" s="107">
        <f>MIN(MAX(V46+INDEX(ActiveMonthlyRain,11)*RoofArea_m2*CollectionEff-DailyDemand_L*INDEX('Rainfall Data'!$E$15:$E$26,11),0),$B46)</f>
        <v>0</v>
      </c>
      <c r="X46" s="107">
        <f>MIN(MAX(W46+INDEX(ActiveMonthlyRain,12)*RoofArea_m2*CollectionEff-DailyDemand_L*INDEX('Rainfall Data'!$E$15:$E$26,12),0),$B46)</f>
        <v>0</v>
      </c>
    </row>
    <row r="47" spans="2:24" ht="15" customHeight="1" x14ac:dyDescent="0.35">
      <c r="B47" s="102">
        <v>15000</v>
      </c>
      <c r="C47" s="108">
        <f>MIN(DailyDemand_L*INDEX('Rainfall Data'!$E$15:$E$26,1),MAX(TankInitial_L+INDEX(ActiveMonthlyRain,1)*RoofArea_m2*CollectionEff-DeadStorage_L,0))+MIN(DailyDemand_L*INDEX('Rainfall Data'!$E$15:$E$26,2),MAX(M47+INDEX(ActiveMonthlyRain,2)*RoofArea_m2*CollectionEff-DeadStorage_L,0))+MIN(DailyDemand_L*INDEX('Rainfall Data'!$E$15:$E$26,3),MAX(N47+INDEX(ActiveMonthlyRain,3)*RoofArea_m2*CollectionEff-DeadStorage_L,0))+MIN(DailyDemand_L*INDEX('Rainfall Data'!$E$15:$E$26,4),MAX(O47+INDEX(ActiveMonthlyRain,4)*RoofArea_m2*CollectionEff-DeadStorage_L,0))+MIN(DailyDemand_L*INDEX('Rainfall Data'!$E$15:$E$26,5),MAX(P47+INDEX(ActiveMonthlyRain,5)*RoofArea_m2*CollectionEff-DeadStorage_L,0))+MIN(DailyDemand_L*INDEX('Rainfall Data'!$E$15:$E$26,6),MAX(Q47+INDEX(ActiveMonthlyRain,6)*RoofArea_m2*CollectionEff-DeadStorage_L,0))+MIN(DailyDemand_L*INDEX('Rainfall Data'!$E$15:$E$26,7),MAX(R47+INDEX(ActiveMonthlyRain,7)*RoofArea_m2*CollectionEff-DeadStorage_L,0))+MIN(DailyDemand_L*INDEX('Rainfall Data'!$E$15:$E$26,8),MAX(S47+INDEX(ActiveMonthlyRain,8)*RoofArea_m2*CollectionEff-DeadStorage_L,0))+MIN(DailyDemand_L*INDEX('Rainfall Data'!$E$15:$E$26,9),MAX(T47+INDEX(ActiveMonthlyRain,9)*RoofArea_m2*CollectionEff-DeadStorage_L,0))+MIN(DailyDemand_L*INDEX('Rainfall Data'!$E$15:$E$26,10),MAX(U47+INDEX(ActiveMonthlyRain,10)*RoofArea_m2*CollectionEff-DeadStorage_L,0))+MIN(DailyDemand_L*INDEX('Rainfall Data'!$E$15:$E$26,11),MAX(V47+INDEX(ActiveMonthlyRain,11)*RoofArea_m2*CollectionEff-DeadStorage_L,0))+MIN(DailyDemand_L*INDEX('Rainfall Data'!$E$15:$E$26,12),MAX(W47+INDEX(ActiveMonthlyRain,12)*RoofArea_m2*CollectionEff-DeadStorage_L,0))</f>
        <v>26109.677499999998</v>
      </c>
      <c r="D47" s="109">
        <f>MAX(TankInitial_L+INDEX(ActiveMonthlyRain,1)*RoofArea_m2*CollectionEff-MIN(DailyDemand_L*INDEX('Rainfall Data'!$E$15:$E$26,1),MAX(TankInitial_L+INDEX(ActiveMonthlyRain,1)*RoofArea_m2*CollectionEff-DeadStorage_L,0))-$B47,0)+MAX(M47+INDEX(ActiveMonthlyRain,2)*RoofArea_m2*CollectionEff-MIN(DailyDemand_L*INDEX('Rainfall Data'!$E$15:$E$26,2),MAX(M47+INDEX(ActiveMonthlyRain,2)*RoofArea_m2*CollectionEff-DeadStorage_L,0))-$B47,0)+MAX(N47+INDEX(ActiveMonthlyRain,3)*RoofArea_m2*CollectionEff-MIN(DailyDemand_L*INDEX('Rainfall Data'!$E$15:$E$26,3),MAX(N47+INDEX(ActiveMonthlyRain,3)*RoofArea_m2*CollectionEff-DeadStorage_L,0))-$B47,0)+MAX(O47+INDEX(ActiveMonthlyRain,4)*RoofArea_m2*CollectionEff-MIN(DailyDemand_L*INDEX('Rainfall Data'!$E$15:$E$26,4),MAX(O47+INDEX(ActiveMonthlyRain,4)*RoofArea_m2*CollectionEff-DeadStorage_L,0))-$B47,0)+MAX(P47+INDEX(ActiveMonthlyRain,5)*RoofArea_m2*CollectionEff-MIN(DailyDemand_L*INDEX('Rainfall Data'!$E$15:$E$26,5),MAX(P47+INDEX(ActiveMonthlyRain,5)*RoofArea_m2*CollectionEff-DeadStorage_L,0))-$B47,0)+MAX(Q47+INDEX(ActiveMonthlyRain,6)*RoofArea_m2*CollectionEff-MIN(DailyDemand_L*INDEX('Rainfall Data'!$E$15:$E$26,6),MAX(Q47+INDEX(ActiveMonthlyRain,6)*RoofArea_m2*CollectionEff-DeadStorage_L,0))-$B47,0)+MAX(R47+INDEX(ActiveMonthlyRain,7)*RoofArea_m2*CollectionEff-MIN(DailyDemand_L*INDEX('Rainfall Data'!$E$15:$E$26,7),MAX(R47+INDEX(ActiveMonthlyRain,7)*RoofArea_m2*CollectionEff-DeadStorage_L,0))-$B47,0)+MAX(S47+INDEX(ActiveMonthlyRain,8)*RoofArea_m2*CollectionEff-MIN(DailyDemand_L*INDEX('Rainfall Data'!$E$15:$E$26,8),MAX(S47+INDEX(ActiveMonthlyRain,8)*RoofArea_m2*CollectionEff-DeadStorage_L,0))-$B47,0)+MAX(T47+INDEX(ActiveMonthlyRain,9)*RoofArea_m2*CollectionEff-MIN(DailyDemand_L*INDEX('Rainfall Data'!$E$15:$E$26,9),MAX(T47+INDEX(ActiveMonthlyRain,9)*RoofArea_m2*CollectionEff-DeadStorage_L,0))-$B47,0)+MAX(U47+INDEX(ActiveMonthlyRain,10)*RoofArea_m2*CollectionEff-MIN(DailyDemand_L*INDEX('Rainfall Data'!$E$15:$E$26,10),MAX(U47+INDEX(ActiveMonthlyRain,10)*RoofArea_m2*CollectionEff-DeadStorage_L,0))-$B47,0)+MAX(V47+INDEX(ActiveMonthlyRain,11)*RoofArea_m2*CollectionEff-MIN(DailyDemand_L*INDEX('Rainfall Data'!$E$15:$E$26,11),MAX(V47+INDEX(ActiveMonthlyRain,11)*RoofArea_m2*CollectionEff-DeadStorage_L,0))-$B47,0)+MAX(W47+INDEX(ActiveMonthlyRain,12)*RoofArea_m2*CollectionEff-MIN(DailyDemand_L*INDEX('Rainfall Data'!$E$15:$E$26,12),MAX(W47+INDEX(ActiveMonthlyRain,12)*RoofArea_m2*CollectionEff-DeadStorage_L,0))-$B47,0)</f>
        <v>0</v>
      </c>
      <c r="E47" s="110">
        <f>SUMPRODUCT(DailyDemand_L*'Rainfall Data'!$E$15:$E$26)-C47</f>
        <v>72440.322500000009</v>
      </c>
      <c r="F47" s="111">
        <f>C47/SUMPRODUCT(DailyDemand_L*'Rainfall Data'!$E$15:$E$26)</f>
        <v>0.2649383815322171</v>
      </c>
      <c r="G47" s="112">
        <f t="shared" si="0"/>
        <v>0</v>
      </c>
      <c r="M47" s="107">
        <f>MIN(MAX(TankInitial_L+INDEX(ActiveMonthlyRain,1)*RoofArea_m2*CollectionEff-DailyDemand_L*INDEX('Rainfall Data'!$E$15:$E$26,1),0),$B47)</f>
        <v>0</v>
      </c>
      <c r="N47" s="107">
        <f>MIN(MAX(M47+INDEX(ActiveMonthlyRain,2)*RoofArea_m2*CollectionEff-DailyDemand_L*INDEX('Rainfall Data'!$E$15:$E$26,2),0),$B47)</f>
        <v>0</v>
      </c>
      <c r="O47" s="107">
        <f>MIN(MAX(N47+INDEX(ActiveMonthlyRain,3)*RoofArea_m2*CollectionEff-DailyDemand_L*INDEX('Rainfall Data'!$E$15:$E$26,3),0),$B47)</f>
        <v>0</v>
      </c>
      <c r="P47" s="107">
        <f>MIN(MAX(O47+INDEX(ActiveMonthlyRain,4)*RoofArea_m2*CollectionEff-DailyDemand_L*INDEX('Rainfall Data'!$E$15:$E$26,4),0),$B47)</f>
        <v>0</v>
      </c>
      <c r="Q47" s="107">
        <f>MIN(MAX(P47+INDEX(ActiveMonthlyRain,5)*RoofArea_m2*CollectionEff-DailyDemand_L*INDEX('Rainfall Data'!$E$15:$E$26,5),0),$B47)</f>
        <v>0</v>
      </c>
      <c r="R47" s="107">
        <f>MIN(MAX(Q47+INDEX(ActiveMonthlyRain,6)*RoofArea_m2*CollectionEff-DailyDemand_L*INDEX('Rainfall Data'!$E$15:$E$26,6),0),$B47)</f>
        <v>0</v>
      </c>
      <c r="S47" s="107">
        <f>MIN(MAX(R47+INDEX(ActiveMonthlyRain,7)*RoofArea_m2*CollectionEff-DailyDemand_L*INDEX('Rainfall Data'!$E$15:$E$26,7),0),$B47)</f>
        <v>2830.8324999999986</v>
      </c>
      <c r="T47" s="107">
        <f>MIN(MAX(S47+INDEX(ActiveMonthlyRain,8)*RoofArea_m2*CollectionEff-DailyDemand_L*INDEX('Rainfall Data'!$E$15:$E$26,8),0),$B47)</f>
        <v>4283.1009999999987</v>
      </c>
      <c r="U47" s="107">
        <f>MIN(MAX(T47+INDEX(ActiveMonthlyRain,9)*RoofArea_m2*CollectionEff-DailyDemand_L*INDEX('Rainfall Data'!$E$15:$E$26,9),0),$B47)</f>
        <v>0</v>
      </c>
      <c r="V47" s="107">
        <f>MIN(MAX(U47+INDEX(ActiveMonthlyRain,10)*RoofArea_m2*CollectionEff-DailyDemand_L*INDEX('Rainfall Data'!$E$15:$E$26,10),0),$B47)</f>
        <v>0</v>
      </c>
      <c r="W47" s="107">
        <f>MIN(MAX(V47+INDEX(ActiveMonthlyRain,11)*RoofArea_m2*CollectionEff-DailyDemand_L*INDEX('Rainfall Data'!$E$15:$E$26,11),0),$B47)</f>
        <v>0</v>
      </c>
      <c r="X47" s="107">
        <f>MIN(MAX(W47+INDEX(ActiveMonthlyRain,12)*RoofArea_m2*CollectionEff-DailyDemand_L*INDEX('Rainfall Data'!$E$15:$E$26,12),0),$B47)</f>
        <v>0</v>
      </c>
    </row>
    <row r="48" spans="2:24" ht="15" customHeight="1" x14ac:dyDescent="0.35">
      <c r="B48" s="102">
        <v>20000</v>
      </c>
      <c r="C48" s="103">
        <f>MIN(DailyDemand_L*INDEX('Rainfall Data'!$E$15:$E$26,1),MAX(TankInitial_L+INDEX(ActiveMonthlyRain,1)*RoofArea_m2*CollectionEff-DeadStorage_L,0))+MIN(DailyDemand_L*INDEX('Rainfall Data'!$E$15:$E$26,2),MAX(M48+INDEX(ActiveMonthlyRain,2)*RoofArea_m2*CollectionEff-DeadStorage_L,0))+MIN(DailyDemand_L*INDEX('Rainfall Data'!$E$15:$E$26,3),MAX(N48+INDEX(ActiveMonthlyRain,3)*RoofArea_m2*CollectionEff-DeadStorage_L,0))+MIN(DailyDemand_L*INDEX('Rainfall Data'!$E$15:$E$26,4),MAX(O48+INDEX(ActiveMonthlyRain,4)*RoofArea_m2*CollectionEff-DeadStorage_L,0))+MIN(DailyDemand_L*INDEX('Rainfall Data'!$E$15:$E$26,5),MAX(P48+INDEX(ActiveMonthlyRain,5)*RoofArea_m2*CollectionEff-DeadStorage_L,0))+MIN(DailyDemand_L*INDEX('Rainfall Data'!$E$15:$E$26,6),MAX(Q48+INDEX(ActiveMonthlyRain,6)*RoofArea_m2*CollectionEff-DeadStorage_L,0))+MIN(DailyDemand_L*INDEX('Rainfall Data'!$E$15:$E$26,7),MAX(R48+INDEX(ActiveMonthlyRain,7)*RoofArea_m2*CollectionEff-DeadStorage_L,0))+MIN(DailyDemand_L*INDEX('Rainfall Data'!$E$15:$E$26,8),MAX(S48+INDEX(ActiveMonthlyRain,8)*RoofArea_m2*CollectionEff-DeadStorage_L,0))+MIN(DailyDemand_L*INDEX('Rainfall Data'!$E$15:$E$26,9),MAX(T48+INDEX(ActiveMonthlyRain,9)*RoofArea_m2*CollectionEff-DeadStorage_L,0))+MIN(DailyDemand_L*INDEX('Rainfall Data'!$E$15:$E$26,10),MAX(U48+INDEX(ActiveMonthlyRain,10)*RoofArea_m2*CollectionEff-DeadStorage_L,0))+MIN(DailyDemand_L*INDEX('Rainfall Data'!$E$15:$E$26,11),MAX(V48+INDEX(ActiveMonthlyRain,11)*RoofArea_m2*CollectionEff-DeadStorage_L,0))+MIN(DailyDemand_L*INDEX('Rainfall Data'!$E$15:$E$26,12),MAX(W48+INDEX(ActiveMonthlyRain,12)*RoofArea_m2*CollectionEff-DeadStorage_L,0))</f>
        <v>26109.677499999998</v>
      </c>
      <c r="D48" s="104">
        <f>MAX(TankInitial_L+INDEX(ActiveMonthlyRain,1)*RoofArea_m2*CollectionEff-MIN(DailyDemand_L*INDEX('Rainfall Data'!$E$15:$E$26,1),MAX(TankInitial_L+INDEX(ActiveMonthlyRain,1)*RoofArea_m2*CollectionEff-DeadStorage_L,0))-$B48,0)+MAX(M48+INDEX(ActiveMonthlyRain,2)*RoofArea_m2*CollectionEff-MIN(DailyDemand_L*INDEX('Rainfall Data'!$E$15:$E$26,2),MAX(M48+INDEX(ActiveMonthlyRain,2)*RoofArea_m2*CollectionEff-DeadStorage_L,0))-$B48,0)+MAX(N48+INDEX(ActiveMonthlyRain,3)*RoofArea_m2*CollectionEff-MIN(DailyDemand_L*INDEX('Rainfall Data'!$E$15:$E$26,3),MAX(N48+INDEX(ActiveMonthlyRain,3)*RoofArea_m2*CollectionEff-DeadStorage_L,0))-$B48,0)+MAX(O48+INDEX(ActiveMonthlyRain,4)*RoofArea_m2*CollectionEff-MIN(DailyDemand_L*INDEX('Rainfall Data'!$E$15:$E$26,4),MAX(O48+INDEX(ActiveMonthlyRain,4)*RoofArea_m2*CollectionEff-DeadStorage_L,0))-$B48,0)+MAX(P48+INDEX(ActiveMonthlyRain,5)*RoofArea_m2*CollectionEff-MIN(DailyDemand_L*INDEX('Rainfall Data'!$E$15:$E$26,5),MAX(P48+INDEX(ActiveMonthlyRain,5)*RoofArea_m2*CollectionEff-DeadStorage_L,0))-$B48,0)+MAX(Q48+INDEX(ActiveMonthlyRain,6)*RoofArea_m2*CollectionEff-MIN(DailyDemand_L*INDEX('Rainfall Data'!$E$15:$E$26,6),MAX(Q48+INDEX(ActiveMonthlyRain,6)*RoofArea_m2*CollectionEff-DeadStorage_L,0))-$B48,0)+MAX(R48+INDEX(ActiveMonthlyRain,7)*RoofArea_m2*CollectionEff-MIN(DailyDemand_L*INDEX('Rainfall Data'!$E$15:$E$26,7),MAX(R48+INDEX(ActiveMonthlyRain,7)*RoofArea_m2*CollectionEff-DeadStorage_L,0))-$B48,0)+MAX(S48+INDEX(ActiveMonthlyRain,8)*RoofArea_m2*CollectionEff-MIN(DailyDemand_L*INDEX('Rainfall Data'!$E$15:$E$26,8),MAX(S48+INDEX(ActiveMonthlyRain,8)*RoofArea_m2*CollectionEff-DeadStorage_L,0))-$B48,0)+MAX(T48+INDEX(ActiveMonthlyRain,9)*RoofArea_m2*CollectionEff-MIN(DailyDemand_L*INDEX('Rainfall Data'!$E$15:$E$26,9),MAX(T48+INDEX(ActiveMonthlyRain,9)*RoofArea_m2*CollectionEff-DeadStorage_L,0))-$B48,0)+MAX(U48+INDEX(ActiveMonthlyRain,10)*RoofArea_m2*CollectionEff-MIN(DailyDemand_L*INDEX('Rainfall Data'!$E$15:$E$26,10),MAX(U48+INDEX(ActiveMonthlyRain,10)*RoofArea_m2*CollectionEff-DeadStorage_L,0))-$B48,0)+MAX(V48+INDEX(ActiveMonthlyRain,11)*RoofArea_m2*CollectionEff-MIN(DailyDemand_L*INDEX('Rainfall Data'!$E$15:$E$26,11),MAX(V48+INDEX(ActiveMonthlyRain,11)*RoofArea_m2*CollectionEff-DeadStorage_L,0))-$B48,0)+MAX(W48+INDEX(ActiveMonthlyRain,12)*RoofArea_m2*CollectionEff-MIN(DailyDemand_L*INDEX('Rainfall Data'!$E$15:$E$26,12),MAX(W48+INDEX(ActiveMonthlyRain,12)*RoofArea_m2*CollectionEff-DeadStorage_L,0))-$B48,0)</f>
        <v>0</v>
      </c>
      <c r="E48" s="105">
        <f>SUMPRODUCT(DailyDemand_L*'Rainfall Data'!$E$15:$E$26)-C48</f>
        <v>72440.322500000009</v>
      </c>
      <c r="F48" s="106">
        <f>C48/SUMPRODUCT(DailyDemand_L*'Rainfall Data'!$E$15:$E$26)</f>
        <v>0.2649383815322171</v>
      </c>
      <c r="G48" s="113">
        <f t="shared" si="0"/>
        <v>0</v>
      </c>
      <c r="M48" s="107">
        <f>MIN(MAX(TankInitial_L+INDEX(ActiveMonthlyRain,1)*RoofArea_m2*CollectionEff-DailyDemand_L*INDEX('Rainfall Data'!$E$15:$E$26,1),0),$B48)</f>
        <v>0</v>
      </c>
      <c r="N48" s="107">
        <f>MIN(MAX(M48+INDEX(ActiveMonthlyRain,2)*RoofArea_m2*CollectionEff-DailyDemand_L*INDEX('Rainfall Data'!$E$15:$E$26,2),0),$B48)</f>
        <v>0</v>
      </c>
      <c r="O48" s="107">
        <f>MIN(MAX(N48+INDEX(ActiveMonthlyRain,3)*RoofArea_m2*CollectionEff-DailyDemand_L*INDEX('Rainfall Data'!$E$15:$E$26,3),0),$B48)</f>
        <v>0</v>
      </c>
      <c r="P48" s="107">
        <f>MIN(MAX(O48+INDEX(ActiveMonthlyRain,4)*RoofArea_m2*CollectionEff-DailyDemand_L*INDEX('Rainfall Data'!$E$15:$E$26,4),0),$B48)</f>
        <v>0</v>
      </c>
      <c r="Q48" s="107">
        <f>MIN(MAX(P48+INDEX(ActiveMonthlyRain,5)*RoofArea_m2*CollectionEff-DailyDemand_L*INDEX('Rainfall Data'!$E$15:$E$26,5),0),$B48)</f>
        <v>0</v>
      </c>
      <c r="R48" s="107">
        <f>MIN(MAX(Q48+INDEX(ActiveMonthlyRain,6)*RoofArea_m2*CollectionEff-DailyDemand_L*INDEX('Rainfall Data'!$E$15:$E$26,6),0),$B48)</f>
        <v>0</v>
      </c>
      <c r="S48" s="107">
        <f>MIN(MAX(R48+INDEX(ActiveMonthlyRain,7)*RoofArea_m2*CollectionEff-DailyDemand_L*INDEX('Rainfall Data'!$E$15:$E$26,7),0),$B48)</f>
        <v>2830.8324999999986</v>
      </c>
      <c r="T48" s="107">
        <f>MIN(MAX(S48+INDEX(ActiveMonthlyRain,8)*RoofArea_m2*CollectionEff-DailyDemand_L*INDEX('Rainfall Data'!$E$15:$E$26,8),0),$B48)</f>
        <v>4283.1009999999987</v>
      </c>
      <c r="U48" s="107">
        <f>MIN(MAX(T48+INDEX(ActiveMonthlyRain,9)*RoofArea_m2*CollectionEff-DailyDemand_L*INDEX('Rainfall Data'!$E$15:$E$26,9),0),$B48)</f>
        <v>0</v>
      </c>
      <c r="V48" s="107">
        <f>MIN(MAX(U48+INDEX(ActiveMonthlyRain,10)*RoofArea_m2*CollectionEff-DailyDemand_L*INDEX('Rainfall Data'!$E$15:$E$26,10),0),$B48)</f>
        <v>0</v>
      </c>
      <c r="W48" s="107">
        <f>MIN(MAX(V48+INDEX(ActiveMonthlyRain,11)*RoofArea_m2*CollectionEff-DailyDemand_L*INDEX('Rainfall Data'!$E$15:$E$26,11),0),$B48)</f>
        <v>0</v>
      </c>
      <c r="X48" s="107">
        <f>MIN(MAX(W48+INDEX(ActiveMonthlyRain,12)*RoofArea_m2*CollectionEff-DailyDemand_L*INDEX('Rainfall Data'!$E$15:$E$26,12),0),$B48)</f>
        <v>0</v>
      </c>
    </row>
    <row r="51" spans="2:9" ht="21.75" customHeight="1" x14ac:dyDescent="0.35">
      <c r="B51" s="11" t="s">
        <v>335</v>
      </c>
      <c r="C51" s="11"/>
      <c r="D51" s="11"/>
      <c r="E51" s="11"/>
      <c r="F51" s="11"/>
      <c r="G51" s="11"/>
      <c r="H51" s="11"/>
      <c r="I51" s="11"/>
    </row>
    <row r="53" spans="2:9" ht="15.75" customHeight="1" x14ac:dyDescent="0.35">
      <c r="B53" s="34" t="s">
        <v>278</v>
      </c>
      <c r="C53" s="114">
        <f>INDEX(Sweep_TankSize,MATCH(MAX(Sweep_Supplied)*0.98,Sweep_Supplied,1))</f>
        <v>3000</v>
      </c>
      <c r="D53" s="29" t="s">
        <v>336</v>
      </c>
    </row>
    <row r="54" spans="2:9" ht="15" customHeight="1" x14ac:dyDescent="0.35">
      <c r="B54" s="34" t="s">
        <v>279</v>
      </c>
      <c r="C54" s="115">
        <f>MAX(Sweep_Supplied)</f>
        <v>26109.677499999998</v>
      </c>
    </row>
    <row r="55" spans="2:9" ht="15" customHeight="1" x14ac:dyDescent="0.35">
      <c r="B55" s="34" t="s">
        <v>280</v>
      </c>
      <c r="C55" s="116">
        <f>('Monthly Summary'!F18)</f>
        <v>23546.306000000004</v>
      </c>
    </row>
  </sheetData>
  <mergeCells count="18">
    <mergeCell ref="B30:I30"/>
    <mergeCell ref="B31:I31"/>
    <mergeCell ref="B51:I51"/>
    <mergeCell ref="B16:I16"/>
    <mergeCell ref="B17:I17"/>
    <mergeCell ref="B18:I18"/>
    <mergeCell ref="B19:I19"/>
    <mergeCell ref="B21:I21"/>
    <mergeCell ref="B11:I11"/>
    <mergeCell ref="B12:I12"/>
    <mergeCell ref="B13:I13"/>
    <mergeCell ref="B14:I14"/>
    <mergeCell ref="B15:I15"/>
    <mergeCell ref="B2:I2"/>
    <mergeCell ref="B5:I5"/>
    <mergeCell ref="B8:I8"/>
    <mergeCell ref="B9:I9"/>
    <mergeCell ref="B10:I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E7A5C"/>
  </sheetPr>
  <dimension ref="B2:U38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328125" defaultRowHeight="14.5" x14ac:dyDescent="0.35"/>
  <cols>
    <col min="1" max="1" width="3" customWidth="1"/>
    <col min="2" max="2" width="24" customWidth="1"/>
    <col min="3" max="3" width="16" customWidth="1"/>
    <col min="4" max="5" width="13" customWidth="1"/>
    <col min="6" max="6" width="3" customWidth="1"/>
    <col min="10" max="21" width="13" hidden="1" customWidth="1"/>
  </cols>
  <sheetData>
    <row r="2" spans="2:21" ht="27.75" customHeight="1" x14ac:dyDescent="0.35">
      <c r="B2" s="11" t="s">
        <v>337</v>
      </c>
      <c r="C2" s="11"/>
      <c r="D2" s="11"/>
      <c r="E2" s="11"/>
    </row>
    <row r="3" spans="2:21" ht="15" customHeight="1" x14ac:dyDescent="0.35">
      <c r="B3" s="10" t="s">
        <v>281</v>
      </c>
      <c r="C3" s="10"/>
      <c r="D3" s="10"/>
      <c r="E3" s="10"/>
    </row>
    <row r="5" spans="2:21" ht="25.5" customHeight="1" x14ac:dyDescent="0.35">
      <c r="B5" s="51" t="s">
        <v>282</v>
      </c>
      <c r="C5" s="51" t="s">
        <v>283</v>
      </c>
      <c r="D5" s="51" t="s">
        <v>273</v>
      </c>
      <c r="E5" s="51" t="s">
        <v>284</v>
      </c>
    </row>
    <row r="6" spans="2:21" ht="18" customHeight="1" x14ac:dyDescent="0.35">
      <c r="B6" s="151" t="s">
        <v>29</v>
      </c>
      <c r="C6" s="151"/>
      <c r="D6" s="151"/>
      <c r="E6" s="151"/>
    </row>
    <row r="7" spans="2:21" ht="15" customHeight="1" x14ac:dyDescent="0.35">
      <c r="B7" s="117" t="s">
        <v>285</v>
      </c>
      <c r="C7" s="118">
        <v>0.75</v>
      </c>
      <c r="D7" s="103">
        <f>MIN(DailyDemand_L*INDEX('Rainfall Data'!$E$15:$E$26,1),MAX(TankInitial_L+INDEX(ActiveMonthlyRain,1)*RoofArea_m2*0.75*CollectionEff-DeadStorage_L,0))+MIN(DailyDemand_L*INDEX('Rainfall Data'!$E$15:$E$26,2),MAX(J7+INDEX(ActiveMonthlyRain,2)*RoofArea_m2*0.75*CollectionEff-DeadStorage_L,0))+MIN(DailyDemand_L*INDEX('Rainfall Data'!$E$15:$E$26,3),MAX(K7+INDEX(ActiveMonthlyRain,3)*RoofArea_m2*0.75*CollectionEff-DeadStorage_L,0))+MIN(DailyDemand_L*INDEX('Rainfall Data'!$E$15:$E$26,4),MAX(L7+INDEX(ActiveMonthlyRain,4)*RoofArea_m2*0.75*CollectionEff-DeadStorage_L,0))+MIN(DailyDemand_L*INDEX('Rainfall Data'!$E$15:$E$26,5),MAX(M7+INDEX(ActiveMonthlyRain,5)*RoofArea_m2*0.75*CollectionEff-DeadStorage_L,0))+MIN(DailyDemand_L*INDEX('Rainfall Data'!$E$15:$E$26,6),MAX(N7+INDEX(ActiveMonthlyRain,6)*RoofArea_m2*0.75*CollectionEff-DeadStorage_L,0))+MIN(DailyDemand_L*INDEX('Rainfall Data'!$E$15:$E$26,7),MAX(O7+INDEX(ActiveMonthlyRain,7)*RoofArea_m2*0.75*CollectionEff-DeadStorage_L,0))+MIN(DailyDemand_L*INDEX('Rainfall Data'!$E$15:$E$26,8),MAX(P7+INDEX(ActiveMonthlyRain,8)*RoofArea_m2*0.75*CollectionEff-DeadStorage_L,0))+MIN(DailyDemand_L*INDEX('Rainfall Data'!$E$15:$E$26,9),MAX(Q7+INDEX(ActiveMonthlyRain,9)*RoofArea_m2*0.75*CollectionEff-DeadStorage_L,0))+MIN(DailyDemand_L*INDEX('Rainfall Data'!$E$15:$E$26,10),MAX(R7+INDEX(ActiveMonthlyRain,10)*RoofArea_m2*0.75*CollectionEff-DeadStorage_L,0))+MIN(DailyDemand_L*INDEX('Rainfall Data'!$E$15:$E$26,11),MAX(S7+INDEX(ActiveMonthlyRain,11)*RoofArea_m2*0.75*CollectionEff-DeadStorage_L,0))+MIN(DailyDemand_L*INDEX('Rainfall Data'!$E$15:$E$26,12),MAX(T7+INDEX(ActiveMonthlyRain,12)*RoofArea_m2*0.75*CollectionEff-DeadStorage_L,0))</f>
        <v>19062.882499999996</v>
      </c>
      <c r="E7" s="106">
        <f>D7/(SUMPRODUCT(DailyDemand_L*'Rainfall Data'!$E$15:$E$26))</f>
        <v>0.19343361237950274</v>
      </c>
      <c r="J7" s="107">
        <f>MIN(MAX(TankInitial_L+INDEX(ActiveMonthlyRain,1)*RoofArea_m2*0.75*CollectionEff-DailyDemand_L*INDEX('Rainfall Data'!$E$15:$E$26,1),0),TankCapacity_L)</f>
        <v>0</v>
      </c>
      <c r="K7" s="107">
        <f>MIN(MAX(J7+INDEX(ActiveMonthlyRain,2)*RoofArea_m2*0.75*CollectionEff-DailyDemand_L*INDEX('Rainfall Data'!$E$15:$E$26,2),0),TankCapacity_L)</f>
        <v>0</v>
      </c>
      <c r="L7" s="107">
        <f>MIN(MAX(K7+INDEX(ActiveMonthlyRain,3)*RoofArea_m2*0.75*CollectionEff-DailyDemand_L*INDEX('Rainfall Data'!$E$15:$E$26,3),0),TankCapacity_L)</f>
        <v>0</v>
      </c>
      <c r="M7" s="107">
        <f>MIN(MAX(L7+INDEX(ActiveMonthlyRain,4)*RoofArea_m2*0.75*CollectionEff-DailyDemand_L*INDEX('Rainfall Data'!$E$15:$E$26,4),0),TankCapacity_L)</f>
        <v>0</v>
      </c>
      <c r="N7" s="107">
        <f>MIN(MAX(M7+INDEX(ActiveMonthlyRain,5)*RoofArea_m2*0.75*CollectionEff-DailyDemand_L*INDEX('Rainfall Data'!$E$15:$E$26,5),0),TankCapacity_L)</f>
        <v>0</v>
      </c>
      <c r="O7" s="107">
        <f>MIN(MAX(N7+INDEX(ActiveMonthlyRain,6)*RoofArea_m2*0.75*CollectionEff-DailyDemand_L*INDEX('Rainfall Data'!$E$15:$E$26,6),0),TankCapacity_L)</f>
        <v>0</v>
      </c>
      <c r="P7" s="107">
        <f>MIN(MAX(O7+INDEX(ActiveMonthlyRain,7)*RoofArea_m2*0.75*CollectionEff-DailyDemand_L*INDEX('Rainfall Data'!$E$15:$E$26,7),0),TankCapacity_L)</f>
        <v>30.624374999999418</v>
      </c>
      <c r="Q7" s="107">
        <f>MIN(MAX(P7+INDEX(ActiveMonthlyRain,8)*RoofArea_m2*0.75*CollectionEff-DailyDemand_L*INDEX('Rainfall Data'!$E$15:$E$26,8),0),TankCapacity_L)</f>
        <v>0</v>
      </c>
      <c r="R7" s="107">
        <f>MIN(MAX(Q7+INDEX(ActiveMonthlyRain,9)*RoofArea_m2*0.75*CollectionEff-DailyDemand_L*INDEX('Rainfall Data'!$E$15:$E$26,9),0),TankCapacity_L)</f>
        <v>0</v>
      </c>
      <c r="S7" s="107">
        <f>MIN(MAX(R7+INDEX(ActiveMonthlyRain,10)*RoofArea_m2*0.75*CollectionEff-DailyDemand_L*INDEX('Rainfall Data'!$E$15:$E$26,10),0),TankCapacity_L)</f>
        <v>0</v>
      </c>
      <c r="T7" s="107">
        <f>MIN(MAX(S7+INDEX(ActiveMonthlyRain,11)*RoofArea_m2*0.75*CollectionEff-DailyDemand_L*INDEX('Rainfall Data'!$E$15:$E$26,11),0),TankCapacity_L)</f>
        <v>0</v>
      </c>
      <c r="U7" s="107">
        <f>MIN(MAX(T7+INDEX(ActiveMonthlyRain,12)*RoofArea_m2*0.75*CollectionEff-DailyDemand_L*INDEX('Rainfall Data'!$E$15:$E$26,12),0),TankCapacity_L)</f>
        <v>0</v>
      </c>
    </row>
    <row r="8" spans="2:21" ht="15" customHeight="1" x14ac:dyDescent="0.35">
      <c r="B8" s="117" t="s">
        <v>286</v>
      </c>
      <c r="C8" s="118">
        <v>1</v>
      </c>
      <c r="D8" s="103">
        <f>MIN(DailyDemand_L*INDEX('Rainfall Data'!$E$15:$E$26,1),MAX(TankInitial_L+INDEX(ActiveMonthlyRain,1)*RoofArea_m2*CollectionEff-DeadStorage_L,0))+MIN(DailyDemand_L*INDEX('Rainfall Data'!$E$15:$E$26,2),MAX(J8+INDEX(ActiveMonthlyRain,2)*RoofArea_m2*CollectionEff-DeadStorage_L,0))+MIN(DailyDemand_L*INDEX('Rainfall Data'!$E$15:$E$26,3),MAX(K8+INDEX(ActiveMonthlyRain,3)*RoofArea_m2*CollectionEff-DeadStorage_L,0))+MIN(DailyDemand_L*INDEX('Rainfall Data'!$E$15:$E$26,4),MAX(L8+INDEX(ActiveMonthlyRain,4)*RoofArea_m2*CollectionEff-DeadStorage_L,0))+MIN(DailyDemand_L*INDEX('Rainfall Data'!$E$15:$E$26,5),MAX(M8+INDEX(ActiveMonthlyRain,5)*RoofArea_m2*CollectionEff-DeadStorage_L,0))+MIN(DailyDemand_L*INDEX('Rainfall Data'!$E$15:$E$26,6),MAX(N8+INDEX(ActiveMonthlyRain,6)*RoofArea_m2*CollectionEff-DeadStorage_L,0))+MIN(DailyDemand_L*INDEX('Rainfall Data'!$E$15:$E$26,7),MAX(O8+INDEX(ActiveMonthlyRain,7)*RoofArea_m2*CollectionEff-DeadStorage_L,0))+MIN(DailyDemand_L*INDEX('Rainfall Data'!$E$15:$E$26,8),MAX(P8+INDEX(ActiveMonthlyRain,8)*RoofArea_m2*CollectionEff-DeadStorage_L,0))+MIN(DailyDemand_L*INDEX('Rainfall Data'!$E$15:$E$26,9),MAX(Q8+INDEX(ActiveMonthlyRain,9)*RoofArea_m2*CollectionEff-DeadStorage_L,0))+MIN(DailyDemand_L*INDEX('Rainfall Data'!$E$15:$E$26,10),MAX(R8+INDEX(ActiveMonthlyRain,10)*RoofArea_m2*CollectionEff-DeadStorage_L,0))+MIN(DailyDemand_L*INDEX('Rainfall Data'!$E$15:$E$26,11),MAX(S8+INDEX(ActiveMonthlyRain,11)*RoofArea_m2*CollectionEff-DeadStorage_L,0))+MIN(DailyDemand_L*INDEX('Rainfall Data'!$E$15:$E$26,12),MAX(T8+INDEX(ActiveMonthlyRain,12)*RoofArea_m2*CollectionEff-DeadStorage_L,0))</f>
        <v>26109.677499999998</v>
      </c>
      <c r="E8" s="119">
        <f>D8/(SUMPRODUCT(DailyDemand_L*'Rainfall Data'!$E$15:$E$26))</f>
        <v>0.2649383815322171</v>
      </c>
      <c r="J8" s="107">
        <f>MIN(MAX(TankInitial_L+INDEX(ActiveMonthlyRain,1)*RoofArea_m2*CollectionEff-DailyDemand_L*INDEX('Rainfall Data'!$E$15:$E$26,1),0),TankCapacity_L)</f>
        <v>0</v>
      </c>
      <c r="K8" s="107">
        <f>MIN(MAX(J8+INDEX(ActiveMonthlyRain,2)*RoofArea_m2*CollectionEff-DailyDemand_L*INDEX('Rainfall Data'!$E$15:$E$26,2),0),TankCapacity_L)</f>
        <v>0</v>
      </c>
      <c r="L8" s="107">
        <f>MIN(MAX(K8+INDEX(ActiveMonthlyRain,3)*RoofArea_m2*CollectionEff-DailyDemand_L*INDEX('Rainfall Data'!$E$15:$E$26,3),0),TankCapacity_L)</f>
        <v>0</v>
      </c>
      <c r="M8" s="107">
        <f>MIN(MAX(L8+INDEX(ActiveMonthlyRain,4)*RoofArea_m2*CollectionEff-DailyDemand_L*INDEX('Rainfall Data'!$E$15:$E$26,4),0),TankCapacity_L)</f>
        <v>0</v>
      </c>
      <c r="N8" s="107">
        <f>MIN(MAX(M8+INDEX(ActiveMonthlyRain,5)*RoofArea_m2*CollectionEff-DailyDemand_L*INDEX('Rainfall Data'!$E$15:$E$26,5),0),TankCapacity_L)</f>
        <v>0</v>
      </c>
      <c r="O8" s="107">
        <f>MIN(MAX(N8+INDEX(ActiveMonthlyRain,6)*RoofArea_m2*CollectionEff-DailyDemand_L*INDEX('Rainfall Data'!$E$15:$E$26,6),0),TankCapacity_L)</f>
        <v>0</v>
      </c>
      <c r="P8" s="107">
        <f>MIN(MAX(O8+INDEX(ActiveMonthlyRain,7)*RoofArea_m2*CollectionEff-DailyDemand_L*INDEX('Rainfall Data'!$E$15:$E$26,7),0),TankCapacity_L)</f>
        <v>2830.8324999999986</v>
      </c>
      <c r="Q8" s="107">
        <f>MIN(MAX(P8+INDEX(ActiveMonthlyRain,8)*RoofArea_m2*CollectionEff-DailyDemand_L*INDEX('Rainfall Data'!$E$15:$E$26,8),0),TankCapacity_L)</f>
        <v>4283.1009999999987</v>
      </c>
      <c r="R8" s="107">
        <f>MIN(MAX(Q8+INDEX(ActiveMonthlyRain,9)*RoofArea_m2*CollectionEff-DailyDemand_L*INDEX('Rainfall Data'!$E$15:$E$26,9),0),TankCapacity_L)</f>
        <v>0</v>
      </c>
      <c r="S8" s="107">
        <f>MIN(MAX(R8+INDEX(ActiveMonthlyRain,10)*RoofArea_m2*CollectionEff-DailyDemand_L*INDEX('Rainfall Data'!$E$15:$E$26,10),0),TankCapacity_L)</f>
        <v>0</v>
      </c>
      <c r="T8" s="107">
        <f>MIN(MAX(S8+INDEX(ActiveMonthlyRain,11)*RoofArea_m2*CollectionEff-DailyDemand_L*INDEX('Rainfall Data'!$E$15:$E$26,11),0),TankCapacity_L)</f>
        <v>0</v>
      </c>
      <c r="U8" s="107">
        <f>MIN(MAX(T8+INDEX(ActiveMonthlyRain,12)*RoofArea_m2*CollectionEff-DailyDemand_L*INDEX('Rainfall Data'!$E$15:$E$26,12),0),TankCapacity_L)</f>
        <v>0</v>
      </c>
    </row>
    <row r="9" spans="2:21" ht="15" customHeight="1" x14ac:dyDescent="0.35">
      <c r="B9" s="117" t="s">
        <v>287</v>
      </c>
      <c r="C9" s="118">
        <v>1.25</v>
      </c>
      <c r="D9" s="103">
        <f>MIN(DailyDemand_L*INDEX('Rainfall Data'!$E$15:$E$26,1),MAX(TankInitial_L+INDEX(ActiveMonthlyRain,1)*RoofArea_m2*1.25*CollectionEff-DeadStorage_L,0))+MIN(DailyDemand_L*INDEX('Rainfall Data'!$E$15:$E$26,2),MAX(J9+INDEX(ActiveMonthlyRain,2)*RoofArea_m2*1.25*CollectionEff-DeadStorage_L,0))+MIN(DailyDemand_L*INDEX('Rainfall Data'!$E$15:$E$26,3),MAX(K9+INDEX(ActiveMonthlyRain,3)*RoofArea_m2*1.25*CollectionEff-DeadStorage_L,0))+MIN(DailyDemand_L*INDEX('Rainfall Data'!$E$15:$E$26,4),MAX(L9+INDEX(ActiveMonthlyRain,4)*RoofArea_m2*1.25*CollectionEff-DeadStorage_L,0))+MIN(DailyDemand_L*INDEX('Rainfall Data'!$E$15:$E$26,5),MAX(M9+INDEX(ActiveMonthlyRain,5)*RoofArea_m2*1.25*CollectionEff-DeadStorage_L,0))+MIN(DailyDemand_L*INDEX('Rainfall Data'!$E$15:$E$26,6),MAX(N9+INDEX(ActiveMonthlyRain,6)*RoofArea_m2*1.25*CollectionEff-DeadStorage_L,0))+MIN(DailyDemand_L*INDEX('Rainfall Data'!$E$15:$E$26,7),MAX(O9+INDEX(ActiveMonthlyRain,7)*RoofArea_m2*1.25*CollectionEff-DeadStorage_L,0))+MIN(DailyDemand_L*INDEX('Rainfall Data'!$E$15:$E$26,8),MAX(P9+INDEX(ActiveMonthlyRain,8)*RoofArea_m2*1.25*CollectionEff-DeadStorage_L,0))+MIN(DailyDemand_L*INDEX('Rainfall Data'!$E$15:$E$26,9),MAX(Q9+INDEX(ActiveMonthlyRain,9)*RoofArea_m2*1.25*CollectionEff-DeadStorage_L,0))+MIN(DailyDemand_L*INDEX('Rainfall Data'!$E$15:$E$26,10),MAX(R9+INDEX(ActiveMonthlyRain,10)*RoofArea_m2*1.25*CollectionEff-DeadStorage_L,0))+MIN(DailyDemand_L*INDEX('Rainfall Data'!$E$15:$E$26,11),MAX(S9+INDEX(ActiveMonthlyRain,11)*RoofArea_m2*1.25*CollectionEff-DeadStorage_L,0))+MIN(DailyDemand_L*INDEX('Rainfall Data'!$E$15:$E$26,12),MAX(T9+INDEX(ActiveMonthlyRain,12)*RoofArea_m2*1.25*CollectionEff-DeadStorage_L,0))</f>
        <v>28410.031249999996</v>
      </c>
      <c r="E9" s="106">
        <f>D9/(SUMPRODUCT(DailyDemand_L*'Rainfall Data'!$E$15:$E$26))</f>
        <v>0.28828037798072043</v>
      </c>
      <c r="J9" s="107">
        <f>MIN(MAX(TankInitial_L+INDEX(ActiveMonthlyRain,1)*RoofArea_m2*1.25*CollectionEff-DailyDemand_L*INDEX('Rainfall Data'!$E$15:$E$26,1),0),TankCapacity_L)</f>
        <v>0</v>
      </c>
      <c r="K9" s="107">
        <f>MIN(MAX(J9+INDEX(ActiveMonthlyRain,2)*RoofArea_m2*1.25*CollectionEff-DailyDemand_L*INDEX('Rainfall Data'!$E$15:$E$26,2),0),TankCapacity_L)</f>
        <v>0</v>
      </c>
      <c r="L9" s="107">
        <f>MIN(MAX(K9+INDEX(ActiveMonthlyRain,3)*RoofArea_m2*1.25*CollectionEff-DailyDemand_L*INDEX('Rainfall Data'!$E$15:$E$26,3),0),TankCapacity_L)</f>
        <v>0</v>
      </c>
      <c r="M9" s="107">
        <f>MIN(MAX(L9+INDEX(ActiveMonthlyRain,4)*RoofArea_m2*1.25*CollectionEff-DailyDemand_L*INDEX('Rainfall Data'!$E$15:$E$26,4),0),TankCapacity_L)</f>
        <v>0</v>
      </c>
      <c r="N9" s="107">
        <f>MIN(MAX(M9+INDEX(ActiveMonthlyRain,5)*RoofArea_m2*1.25*CollectionEff-DailyDemand_L*INDEX('Rainfall Data'!$E$15:$E$26,5),0),TankCapacity_L)</f>
        <v>0</v>
      </c>
      <c r="O9" s="107">
        <f>MIN(MAX(N9+INDEX(ActiveMonthlyRain,6)*RoofArea_m2*1.25*CollectionEff-DailyDemand_L*INDEX('Rainfall Data'!$E$15:$E$26,6),0),TankCapacity_L)</f>
        <v>0</v>
      </c>
      <c r="P9" s="107">
        <f>MIN(MAX(O9+INDEX(ActiveMonthlyRain,7)*RoofArea_m2*1.25*CollectionEff-DailyDemand_L*INDEX('Rainfall Data'!$E$15:$E$26,7),0),TankCapacity_L)</f>
        <v>5000</v>
      </c>
      <c r="Q9" s="107">
        <f>MIN(MAX(P9+INDEX(ActiveMonthlyRain,8)*RoofArea_m2*1.25*CollectionEff-DailyDemand_L*INDEX('Rainfall Data'!$E$15:$E$26,8),0),TankCapacity_L)</f>
        <v>5000</v>
      </c>
      <c r="R9" s="107">
        <f>MIN(MAX(Q9+INDEX(ActiveMonthlyRain,9)*RoofArea_m2*1.25*CollectionEff-DailyDemand_L*INDEX('Rainfall Data'!$E$15:$E$26,9),0),TankCapacity_L)</f>
        <v>131.00937499999964</v>
      </c>
      <c r="S9" s="107">
        <f>MIN(MAX(R9+INDEX(ActiveMonthlyRain,10)*RoofArea_m2*1.25*CollectionEff-DailyDemand_L*INDEX('Rainfall Data'!$E$15:$E$26,10),0),TankCapacity_L)</f>
        <v>0</v>
      </c>
      <c r="T9" s="107">
        <f>MIN(MAX(S9+INDEX(ActiveMonthlyRain,11)*RoofArea_m2*1.25*CollectionEff-DailyDemand_L*INDEX('Rainfall Data'!$E$15:$E$26,11),0),TankCapacity_L)</f>
        <v>0</v>
      </c>
      <c r="U9" s="107">
        <f>MIN(MAX(T9+INDEX(ActiveMonthlyRain,12)*RoofArea_m2*1.25*CollectionEff-DailyDemand_L*INDEX('Rainfall Data'!$E$15:$E$26,12),0),TankCapacity_L)</f>
        <v>0</v>
      </c>
    </row>
    <row r="11" spans="2:21" ht="18" customHeight="1" x14ac:dyDescent="0.35">
      <c r="B11" s="151" t="s">
        <v>288</v>
      </c>
      <c r="C11" s="151"/>
      <c r="D11" s="151"/>
      <c r="E11" s="151"/>
    </row>
    <row r="12" spans="2:21" ht="15" customHeight="1" x14ac:dyDescent="0.35">
      <c r="B12" s="117" t="s">
        <v>285</v>
      </c>
      <c r="C12" s="118">
        <v>0.75</v>
      </c>
      <c r="D12" s="103">
        <f>MIN(DailyDemand_L*INDEX('Rainfall Data'!$E$15:$E$26,1),MAX(TankInitial_L+(INDEX(ActiveMonthlyRain,1)*0.75)*RoofArea_m2*CollectionEff-DeadStorage_L,0))+MIN(DailyDemand_L*INDEX('Rainfall Data'!$E$15:$E$26,2),MAX(J12+(INDEX(ActiveMonthlyRain,2)*0.75)*RoofArea_m2*CollectionEff-DeadStorage_L,0))+MIN(DailyDemand_L*INDEX('Rainfall Data'!$E$15:$E$26,3),MAX(K12+(INDEX(ActiveMonthlyRain,3)*0.75)*RoofArea_m2*CollectionEff-DeadStorage_L,0))+MIN(DailyDemand_L*INDEX('Rainfall Data'!$E$15:$E$26,4),MAX(L12+(INDEX(ActiveMonthlyRain,4)*0.75)*RoofArea_m2*CollectionEff-DeadStorage_L,0))+MIN(DailyDemand_L*INDEX('Rainfall Data'!$E$15:$E$26,5),MAX(M12+(INDEX(ActiveMonthlyRain,5)*0.75)*RoofArea_m2*CollectionEff-DeadStorage_L,0))+MIN(DailyDemand_L*INDEX('Rainfall Data'!$E$15:$E$26,6),MAX(N12+(INDEX(ActiveMonthlyRain,6)*0.75)*RoofArea_m2*CollectionEff-DeadStorage_L,0))+MIN(DailyDemand_L*INDEX('Rainfall Data'!$E$15:$E$26,7),MAX(O12+(INDEX(ActiveMonthlyRain,7)*0.75)*RoofArea_m2*CollectionEff-DeadStorage_L,0))+MIN(DailyDemand_L*INDEX('Rainfall Data'!$E$15:$E$26,8),MAX(P12+(INDEX(ActiveMonthlyRain,8)*0.75)*RoofArea_m2*CollectionEff-DeadStorage_L,0))+MIN(DailyDemand_L*INDEX('Rainfall Data'!$E$15:$E$26,9),MAX(Q12+(INDEX(ActiveMonthlyRain,9)*0.75)*RoofArea_m2*CollectionEff-DeadStorage_L,0))+MIN(DailyDemand_L*INDEX('Rainfall Data'!$E$15:$E$26,10),MAX(R12+(INDEX(ActiveMonthlyRain,10)*0.75)*RoofArea_m2*CollectionEff-DeadStorage_L,0))+MIN(DailyDemand_L*INDEX('Rainfall Data'!$E$15:$E$26,11),MAX(S12+(INDEX(ActiveMonthlyRain,11)*0.75)*RoofArea_m2*CollectionEff-DeadStorage_L,0))+MIN(DailyDemand_L*INDEX('Rainfall Data'!$E$15:$E$26,12),MAX(T12+(INDEX(ActiveMonthlyRain,12)*0.75)*RoofArea_m2*CollectionEff-DeadStorage_L,0))</f>
        <v>19062.882499999996</v>
      </c>
      <c r="E12" s="106">
        <f>D12/(SUMPRODUCT(DailyDemand_L*'Rainfall Data'!$E$15:$E$26))</f>
        <v>0.19343361237950274</v>
      </c>
      <c r="J12" s="107">
        <f>MIN(MAX(TankInitial_L+(INDEX(ActiveMonthlyRain,1)*0.75)*RoofArea_m2*CollectionEff-DailyDemand_L*INDEX('Rainfall Data'!$E$15:$E$26,1),0),TankCapacity_L)</f>
        <v>0</v>
      </c>
      <c r="K12" s="107">
        <f>MIN(MAX(J12+(INDEX(ActiveMonthlyRain,2)*0.75)*RoofArea_m2*CollectionEff-DailyDemand_L*INDEX('Rainfall Data'!$E$15:$E$26,2),0),TankCapacity_L)</f>
        <v>0</v>
      </c>
      <c r="L12" s="107">
        <f>MIN(MAX(K12+(INDEX(ActiveMonthlyRain,3)*0.75)*RoofArea_m2*CollectionEff-DailyDemand_L*INDEX('Rainfall Data'!$E$15:$E$26,3),0),TankCapacity_L)</f>
        <v>0</v>
      </c>
      <c r="M12" s="107">
        <f>MIN(MAX(L12+(INDEX(ActiveMonthlyRain,4)*0.75)*RoofArea_m2*CollectionEff-DailyDemand_L*INDEX('Rainfall Data'!$E$15:$E$26,4),0),TankCapacity_L)</f>
        <v>0</v>
      </c>
      <c r="N12" s="107">
        <f>MIN(MAX(M12+(INDEX(ActiveMonthlyRain,5)*0.75)*RoofArea_m2*CollectionEff-DailyDemand_L*INDEX('Rainfall Data'!$E$15:$E$26,5),0),TankCapacity_L)</f>
        <v>0</v>
      </c>
      <c r="O12" s="107">
        <f>MIN(MAX(N12+(INDEX(ActiveMonthlyRain,6)*0.75)*RoofArea_m2*CollectionEff-DailyDemand_L*INDEX('Rainfall Data'!$E$15:$E$26,6),0),TankCapacity_L)</f>
        <v>0</v>
      </c>
      <c r="P12" s="107">
        <f>MIN(MAX(O12+(INDEX(ActiveMonthlyRain,7)*0.75)*RoofArea_m2*CollectionEff-DailyDemand_L*INDEX('Rainfall Data'!$E$15:$E$26,7),0),TankCapacity_L)</f>
        <v>30.624374999999418</v>
      </c>
      <c r="Q12" s="107">
        <f>MIN(MAX(P12+(INDEX(ActiveMonthlyRain,8)*0.75)*RoofArea_m2*CollectionEff-DailyDemand_L*INDEX('Rainfall Data'!$E$15:$E$26,8),0),TankCapacity_L)</f>
        <v>0</v>
      </c>
      <c r="R12" s="107">
        <f>MIN(MAX(Q12+(INDEX(ActiveMonthlyRain,9)*0.75)*RoofArea_m2*CollectionEff-DailyDemand_L*INDEX('Rainfall Data'!$E$15:$E$26,9),0),TankCapacity_L)</f>
        <v>0</v>
      </c>
      <c r="S12" s="107">
        <f>MIN(MAX(R12+(INDEX(ActiveMonthlyRain,10)*0.75)*RoofArea_m2*CollectionEff-DailyDemand_L*INDEX('Rainfall Data'!$E$15:$E$26,10),0),TankCapacity_L)</f>
        <v>0</v>
      </c>
      <c r="T12" s="107">
        <f>MIN(MAX(S12+(INDEX(ActiveMonthlyRain,11)*0.75)*RoofArea_m2*CollectionEff-DailyDemand_L*INDEX('Rainfall Data'!$E$15:$E$26,11),0),TankCapacity_L)</f>
        <v>0</v>
      </c>
      <c r="U12" s="107">
        <f>MIN(MAX(T12+(INDEX(ActiveMonthlyRain,12)*0.75)*RoofArea_m2*CollectionEff-DailyDemand_L*INDEX('Rainfall Data'!$E$15:$E$26,12),0),TankCapacity_L)</f>
        <v>0</v>
      </c>
    </row>
    <row r="13" spans="2:21" ht="15" customHeight="1" x14ac:dyDescent="0.35">
      <c r="B13" s="117" t="s">
        <v>286</v>
      </c>
      <c r="C13" s="118">
        <v>1</v>
      </c>
      <c r="D13" s="103">
        <f>MIN(DailyDemand_L*INDEX('Rainfall Data'!$E$15:$E$26,1),MAX(TankInitial_L+INDEX(ActiveMonthlyRain,1)*RoofArea_m2*CollectionEff-DeadStorage_L,0))+MIN(DailyDemand_L*INDEX('Rainfall Data'!$E$15:$E$26,2),MAX(J13+INDEX(ActiveMonthlyRain,2)*RoofArea_m2*CollectionEff-DeadStorage_L,0))+MIN(DailyDemand_L*INDEX('Rainfall Data'!$E$15:$E$26,3),MAX(K13+INDEX(ActiveMonthlyRain,3)*RoofArea_m2*CollectionEff-DeadStorage_L,0))+MIN(DailyDemand_L*INDEX('Rainfall Data'!$E$15:$E$26,4),MAX(L13+INDEX(ActiveMonthlyRain,4)*RoofArea_m2*CollectionEff-DeadStorage_L,0))+MIN(DailyDemand_L*INDEX('Rainfall Data'!$E$15:$E$26,5),MAX(M13+INDEX(ActiveMonthlyRain,5)*RoofArea_m2*CollectionEff-DeadStorage_L,0))+MIN(DailyDemand_L*INDEX('Rainfall Data'!$E$15:$E$26,6),MAX(N13+INDEX(ActiveMonthlyRain,6)*RoofArea_m2*CollectionEff-DeadStorage_L,0))+MIN(DailyDemand_L*INDEX('Rainfall Data'!$E$15:$E$26,7),MAX(O13+INDEX(ActiveMonthlyRain,7)*RoofArea_m2*CollectionEff-DeadStorage_L,0))+MIN(DailyDemand_L*INDEX('Rainfall Data'!$E$15:$E$26,8),MAX(P13+INDEX(ActiveMonthlyRain,8)*RoofArea_m2*CollectionEff-DeadStorage_L,0))+MIN(DailyDemand_L*INDEX('Rainfall Data'!$E$15:$E$26,9),MAX(Q13+INDEX(ActiveMonthlyRain,9)*RoofArea_m2*CollectionEff-DeadStorage_L,0))+MIN(DailyDemand_L*INDEX('Rainfall Data'!$E$15:$E$26,10),MAX(R13+INDEX(ActiveMonthlyRain,10)*RoofArea_m2*CollectionEff-DeadStorage_L,0))+MIN(DailyDemand_L*INDEX('Rainfall Data'!$E$15:$E$26,11),MAX(S13+INDEX(ActiveMonthlyRain,11)*RoofArea_m2*CollectionEff-DeadStorage_L,0))+MIN(DailyDemand_L*INDEX('Rainfall Data'!$E$15:$E$26,12),MAX(T13+INDEX(ActiveMonthlyRain,12)*RoofArea_m2*CollectionEff-DeadStorage_L,0))</f>
        <v>26109.677499999998</v>
      </c>
      <c r="E13" s="119">
        <f>D13/(SUMPRODUCT(DailyDemand_L*'Rainfall Data'!$E$15:$E$26))</f>
        <v>0.2649383815322171</v>
      </c>
      <c r="J13" s="107">
        <f>MIN(MAX(TankInitial_L+INDEX(ActiveMonthlyRain,1)*RoofArea_m2*CollectionEff-DailyDemand_L*INDEX('Rainfall Data'!$E$15:$E$26,1),0),TankCapacity_L)</f>
        <v>0</v>
      </c>
      <c r="K13" s="107">
        <f>MIN(MAX(J13+INDEX(ActiveMonthlyRain,2)*RoofArea_m2*CollectionEff-DailyDemand_L*INDEX('Rainfall Data'!$E$15:$E$26,2),0),TankCapacity_L)</f>
        <v>0</v>
      </c>
      <c r="L13" s="107">
        <f>MIN(MAX(K13+INDEX(ActiveMonthlyRain,3)*RoofArea_m2*CollectionEff-DailyDemand_L*INDEX('Rainfall Data'!$E$15:$E$26,3),0),TankCapacity_L)</f>
        <v>0</v>
      </c>
      <c r="M13" s="107">
        <f>MIN(MAX(L13+INDEX(ActiveMonthlyRain,4)*RoofArea_m2*CollectionEff-DailyDemand_L*INDEX('Rainfall Data'!$E$15:$E$26,4),0),TankCapacity_L)</f>
        <v>0</v>
      </c>
      <c r="N13" s="107">
        <f>MIN(MAX(M13+INDEX(ActiveMonthlyRain,5)*RoofArea_m2*CollectionEff-DailyDemand_L*INDEX('Rainfall Data'!$E$15:$E$26,5),0),TankCapacity_L)</f>
        <v>0</v>
      </c>
      <c r="O13" s="107">
        <f>MIN(MAX(N13+INDEX(ActiveMonthlyRain,6)*RoofArea_m2*CollectionEff-DailyDemand_L*INDEX('Rainfall Data'!$E$15:$E$26,6),0),TankCapacity_L)</f>
        <v>0</v>
      </c>
      <c r="P13" s="107">
        <f>MIN(MAX(O13+INDEX(ActiveMonthlyRain,7)*RoofArea_m2*CollectionEff-DailyDemand_L*INDEX('Rainfall Data'!$E$15:$E$26,7),0),TankCapacity_L)</f>
        <v>2830.8324999999986</v>
      </c>
      <c r="Q13" s="107">
        <f>MIN(MAX(P13+INDEX(ActiveMonthlyRain,8)*RoofArea_m2*CollectionEff-DailyDemand_L*INDEX('Rainfall Data'!$E$15:$E$26,8),0),TankCapacity_L)</f>
        <v>4283.1009999999987</v>
      </c>
      <c r="R13" s="107">
        <f>MIN(MAX(Q13+INDEX(ActiveMonthlyRain,9)*RoofArea_m2*CollectionEff-DailyDemand_L*INDEX('Rainfall Data'!$E$15:$E$26,9),0),TankCapacity_L)</f>
        <v>0</v>
      </c>
      <c r="S13" s="107">
        <f>MIN(MAX(R13+INDEX(ActiveMonthlyRain,10)*RoofArea_m2*CollectionEff-DailyDemand_L*INDEX('Rainfall Data'!$E$15:$E$26,10),0),TankCapacity_L)</f>
        <v>0</v>
      </c>
      <c r="T13" s="107">
        <f>MIN(MAX(S13+INDEX(ActiveMonthlyRain,11)*RoofArea_m2*CollectionEff-DailyDemand_L*INDEX('Rainfall Data'!$E$15:$E$26,11),0),TankCapacity_L)</f>
        <v>0</v>
      </c>
      <c r="U13" s="107">
        <f>MIN(MAX(T13+INDEX(ActiveMonthlyRain,12)*RoofArea_m2*CollectionEff-DailyDemand_L*INDEX('Rainfall Data'!$E$15:$E$26,12),0),TankCapacity_L)</f>
        <v>0</v>
      </c>
    </row>
    <row r="14" spans="2:21" ht="15" customHeight="1" x14ac:dyDescent="0.35">
      <c r="B14" s="117" t="s">
        <v>287</v>
      </c>
      <c r="C14" s="118">
        <v>1.25</v>
      </c>
      <c r="D14" s="103">
        <f>MIN(DailyDemand_L*INDEX('Rainfall Data'!$E$15:$E$26,1),MAX(TankInitial_L+(INDEX(ActiveMonthlyRain,1)*1.25)*RoofArea_m2*CollectionEff-DeadStorage_L,0))+MIN(DailyDemand_L*INDEX('Rainfall Data'!$E$15:$E$26,2),MAX(J14+(INDEX(ActiveMonthlyRain,2)*1.25)*RoofArea_m2*CollectionEff-DeadStorage_L,0))+MIN(DailyDemand_L*INDEX('Rainfall Data'!$E$15:$E$26,3),MAX(K14+(INDEX(ActiveMonthlyRain,3)*1.25)*RoofArea_m2*CollectionEff-DeadStorage_L,0))+MIN(DailyDemand_L*INDEX('Rainfall Data'!$E$15:$E$26,4),MAX(L14+(INDEX(ActiveMonthlyRain,4)*1.25)*RoofArea_m2*CollectionEff-DeadStorage_L,0))+MIN(DailyDemand_L*INDEX('Rainfall Data'!$E$15:$E$26,5),MAX(M14+(INDEX(ActiveMonthlyRain,5)*1.25)*RoofArea_m2*CollectionEff-DeadStorage_L,0))+MIN(DailyDemand_L*INDEX('Rainfall Data'!$E$15:$E$26,6),MAX(N14+(INDEX(ActiveMonthlyRain,6)*1.25)*RoofArea_m2*CollectionEff-DeadStorage_L,0))+MIN(DailyDemand_L*INDEX('Rainfall Data'!$E$15:$E$26,7),MAX(O14+(INDEX(ActiveMonthlyRain,7)*1.25)*RoofArea_m2*CollectionEff-DeadStorage_L,0))+MIN(DailyDemand_L*INDEX('Rainfall Data'!$E$15:$E$26,8),MAX(P14+(INDEX(ActiveMonthlyRain,8)*1.25)*RoofArea_m2*CollectionEff-DeadStorage_L,0))+MIN(DailyDemand_L*INDEX('Rainfall Data'!$E$15:$E$26,9),MAX(Q14+(INDEX(ActiveMonthlyRain,9)*1.25)*RoofArea_m2*CollectionEff-DeadStorage_L,0))+MIN(DailyDemand_L*INDEX('Rainfall Data'!$E$15:$E$26,10),MAX(R14+(INDEX(ActiveMonthlyRain,10)*1.25)*RoofArea_m2*CollectionEff-DeadStorage_L,0))+MIN(DailyDemand_L*INDEX('Rainfall Data'!$E$15:$E$26,11),MAX(S14+(INDEX(ActiveMonthlyRain,11)*1.25)*RoofArea_m2*CollectionEff-DeadStorage_L,0))+MIN(DailyDemand_L*INDEX('Rainfall Data'!$E$15:$E$26,12),MAX(T14+(INDEX(ActiveMonthlyRain,12)*1.25)*RoofArea_m2*CollectionEff-DeadStorage_L,0))</f>
        <v>28410.031249999996</v>
      </c>
      <c r="E14" s="106">
        <f>D14/(SUMPRODUCT(DailyDemand_L*'Rainfall Data'!$E$15:$E$26))</f>
        <v>0.28828037798072043</v>
      </c>
      <c r="J14" s="107">
        <f>MIN(MAX(TankInitial_L+(INDEX(ActiveMonthlyRain,1)*1.25)*RoofArea_m2*CollectionEff-DailyDemand_L*INDEX('Rainfall Data'!$E$15:$E$26,1),0),TankCapacity_L)</f>
        <v>0</v>
      </c>
      <c r="K14" s="107">
        <f>MIN(MAX(J14+(INDEX(ActiveMonthlyRain,2)*1.25)*RoofArea_m2*CollectionEff-DailyDemand_L*INDEX('Rainfall Data'!$E$15:$E$26,2),0),TankCapacity_L)</f>
        <v>0</v>
      </c>
      <c r="L14" s="107">
        <f>MIN(MAX(K14+(INDEX(ActiveMonthlyRain,3)*1.25)*RoofArea_m2*CollectionEff-DailyDemand_L*INDEX('Rainfall Data'!$E$15:$E$26,3),0),TankCapacity_L)</f>
        <v>0</v>
      </c>
      <c r="M14" s="107">
        <f>MIN(MAX(L14+(INDEX(ActiveMonthlyRain,4)*1.25)*RoofArea_m2*CollectionEff-DailyDemand_L*INDEX('Rainfall Data'!$E$15:$E$26,4),0),TankCapacity_L)</f>
        <v>0</v>
      </c>
      <c r="N14" s="107">
        <f>MIN(MAX(M14+(INDEX(ActiveMonthlyRain,5)*1.25)*RoofArea_m2*CollectionEff-DailyDemand_L*INDEX('Rainfall Data'!$E$15:$E$26,5),0),TankCapacity_L)</f>
        <v>0</v>
      </c>
      <c r="O14" s="107">
        <f>MIN(MAX(N14+(INDEX(ActiveMonthlyRain,6)*1.25)*RoofArea_m2*CollectionEff-DailyDemand_L*INDEX('Rainfall Data'!$E$15:$E$26,6),0),TankCapacity_L)</f>
        <v>0</v>
      </c>
      <c r="P14" s="107">
        <f>MIN(MAX(O14+(INDEX(ActiveMonthlyRain,7)*1.25)*RoofArea_m2*CollectionEff-DailyDemand_L*INDEX('Rainfall Data'!$E$15:$E$26,7),0),TankCapacity_L)</f>
        <v>5000</v>
      </c>
      <c r="Q14" s="107">
        <f>MIN(MAX(P14+(INDEX(ActiveMonthlyRain,8)*1.25)*RoofArea_m2*CollectionEff-DailyDemand_L*INDEX('Rainfall Data'!$E$15:$E$26,8),0),TankCapacity_L)</f>
        <v>5000</v>
      </c>
      <c r="R14" s="107">
        <f>MIN(MAX(Q14+(INDEX(ActiveMonthlyRain,9)*1.25)*RoofArea_m2*CollectionEff-DailyDemand_L*INDEX('Rainfall Data'!$E$15:$E$26,9),0),TankCapacity_L)</f>
        <v>131.00937499999964</v>
      </c>
      <c r="S14" s="107">
        <f>MIN(MAX(R14+(INDEX(ActiveMonthlyRain,10)*1.25)*RoofArea_m2*CollectionEff-DailyDemand_L*INDEX('Rainfall Data'!$E$15:$E$26,10),0),TankCapacity_L)</f>
        <v>0</v>
      </c>
      <c r="T14" s="107">
        <f>MIN(MAX(S14+(INDEX(ActiveMonthlyRain,11)*1.25)*RoofArea_m2*CollectionEff-DailyDemand_L*INDEX('Rainfall Data'!$E$15:$E$26,11),0),TankCapacity_L)</f>
        <v>0</v>
      </c>
      <c r="U14" s="107">
        <f>MIN(MAX(T14+(INDEX(ActiveMonthlyRain,12)*1.25)*RoofArea_m2*CollectionEff-DailyDemand_L*INDEX('Rainfall Data'!$E$15:$E$26,12),0),TankCapacity_L)</f>
        <v>0</v>
      </c>
    </row>
    <row r="16" spans="2:21" ht="18" customHeight="1" x14ac:dyDescent="0.35">
      <c r="B16" s="151" t="s">
        <v>289</v>
      </c>
      <c r="C16" s="151"/>
      <c r="D16" s="151"/>
      <c r="E16" s="151"/>
    </row>
    <row r="17" spans="2:21" ht="15" customHeight="1" x14ac:dyDescent="0.35">
      <c r="B17" s="117" t="s">
        <v>285</v>
      </c>
      <c r="C17" s="118">
        <v>0.75</v>
      </c>
      <c r="D17" s="103">
        <f>MIN((DailyDemand_L*0.75)*INDEX('Rainfall Data'!$E$15:$E$26,1),MAX(TankInitial_L+INDEX(ActiveMonthlyRain,1)*RoofArea_m2*CollectionEff-DeadStorage_L,0))+MIN((DailyDemand_L*0.75)*INDEX('Rainfall Data'!$E$15:$E$26,2),MAX(J17+INDEX(ActiveMonthlyRain,2)*RoofArea_m2*CollectionEff-DeadStorage_L,0))+MIN((DailyDemand_L*0.75)*INDEX('Rainfall Data'!$E$15:$E$26,3),MAX(K17+INDEX(ActiveMonthlyRain,3)*RoofArea_m2*CollectionEff-DeadStorage_L,0))+MIN((DailyDemand_L*0.75)*INDEX('Rainfall Data'!$E$15:$E$26,4),MAX(L17+INDEX(ActiveMonthlyRain,4)*RoofArea_m2*CollectionEff-DeadStorage_L,0))+MIN((DailyDemand_L*0.75)*INDEX('Rainfall Data'!$E$15:$E$26,5),MAX(M17+INDEX(ActiveMonthlyRain,5)*RoofArea_m2*CollectionEff-DeadStorage_L,0))+MIN((DailyDemand_L*0.75)*INDEX('Rainfall Data'!$E$15:$E$26,6),MAX(N17+INDEX(ActiveMonthlyRain,6)*RoofArea_m2*CollectionEff-DeadStorage_L,0))+MIN((DailyDemand_L*0.75)*INDEX('Rainfall Data'!$E$15:$E$26,7),MAX(O17+INDEX(ActiveMonthlyRain,7)*RoofArea_m2*CollectionEff-DeadStorage_L,0))+MIN((DailyDemand_L*0.75)*INDEX('Rainfall Data'!$E$15:$E$26,8),MAX(P17+INDEX(ActiveMonthlyRain,8)*RoofArea_m2*CollectionEff-DeadStorage_L,0))+MIN((DailyDemand_L*0.75)*INDEX('Rainfall Data'!$E$15:$E$26,9),MAX(Q17+INDEX(ActiveMonthlyRain,9)*RoofArea_m2*CollectionEff-DeadStorage_L,0))+MIN((DailyDemand_L*0.75)*INDEX('Rainfall Data'!$E$15:$E$26,10),MAX(R17+INDEX(ActiveMonthlyRain,10)*RoofArea_m2*CollectionEff-DeadStorage_L,0))+MIN((DailyDemand_L*0.75)*INDEX('Rainfall Data'!$E$15:$E$26,11),MAX(S17+INDEX(ActiveMonthlyRain,11)*RoofArea_m2*CollectionEff-DeadStorage_L,0))+MIN((DailyDemand_L*0.75)*INDEX('Rainfall Data'!$E$15:$E$26,12),MAX(T17+INDEX(ActiveMonthlyRain,12)*RoofArea_m2*CollectionEff-DeadStorage_L,0))</f>
        <v>22841.576499999999</v>
      </c>
      <c r="E17" s="106">
        <f>D17/(SUMPRODUCT(DailyDemand_L*'Rainfall Data'!$E$15:$E$26))</f>
        <v>0.23177652460679857</v>
      </c>
      <c r="J17" s="107">
        <f>MIN(MAX(TankInitial_L+INDEX(ActiveMonthlyRain,1)*RoofArea_m2*CollectionEff-(DailyDemand_L*0.75)*INDEX('Rainfall Data'!$E$15:$E$26,1),0),TankCapacity_L)</f>
        <v>0</v>
      </c>
      <c r="K17" s="107">
        <f>MIN(MAX(J17+INDEX(ActiveMonthlyRain,2)*RoofArea_m2*CollectionEff-(DailyDemand_L*0.75)*INDEX('Rainfall Data'!$E$15:$E$26,2),0),TankCapacity_L)</f>
        <v>0</v>
      </c>
      <c r="L17" s="107">
        <f>MIN(MAX(K17+INDEX(ActiveMonthlyRain,3)*RoofArea_m2*CollectionEff-(DailyDemand_L*0.75)*INDEX('Rainfall Data'!$E$15:$E$26,3),0),TankCapacity_L)</f>
        <v>0</v>
      </c>
      <c r="M17" s="107">
        <f>MIN(MAX(L17+INDEX(ActiveMonthlyRain,4)*RoofArea_m2*CollectionEff-(DailyDemand_L*0.75)*INDEX('Rainfall Data'!$E$15:$E$26,4),0),TankCapacity_L)</f>
        <v>0</v>
      </c>
      <c r="N17" s="107">
        <f>MIN(MAX(M17+INDEX(ActiveMonthlyRain,5)*RoofArea_m2*CollectionEff-(DailyDemand_L*0.75)*INDEX('Rainfall Data'!$E$15:$E$26,5),0),TankCapacity_L)</f>
        <v>0</v>
      </c>
      <c r="O17" s="107">
        <f>MIN(MAX(N17+INDEX(ActiveMonthlyRain,6)*RoofArea_m2*CollectionEff-(DailyDemand_L*0.75)*INDEX('Rainfall Data'!$E$15:$E$26,6),0),TankCapacity_L)</f>
        <v>0</v>
      </c>
      <c r="P17" s="107">
        <f>MIN(MAX(O17+INDEX(ActiveMonthlyRain,7)*RoofArea_m2*CollectionEff-(DailyDemand_L*0.75)*INDEX('Rainfall Data'!$E$15:$E$26,7),0),TankCapacity_L)</f>
        <v>4923.3324999999986</v>
      </c>
      <c r="Q17" s="107">
        <f>MIN(MAX(P17+INDEX(ActiveMonthlyRain,8)*RoofArea_m2*CollectionEff-(DailyDemand_L*0.75)*INDEX('Rainfall Data'!$E$15:$E$26,8),0),TankCapacity_L)</f>
        <v>5000</v>
      </c>
      <c r="R17" s="107">
        <f>MIN(MAX(Q17+INDEX(ActiveMonthlyRain,9)*RoofArea_m2*CollectionEff-(DailyDemand_L*0.75)*INDEX('Rainfall Data'!$E$15:$E$26,9),0),TankCapacity_L)</f>
        <v>1509.8074999999999</v>
      </c>
      <c r="S17" s="107">
        <f>MIN(MAX(R17+INDEX(ActiveMonthlyRain,10)*RoofArea_m2*CollectionEff-(DailyDemand_L*0.75)*INDEX('Rainfall Data'!$E$15:$E$26,10),0),TankCapacity_L)</f>
        <v>0</v>
      </c>
      <c r="T17" s="107">
        <f>MIN(MAX(S17+INDEX(ActiveMonthlyRain,11)*RoofArea_m2*CollectionEff-(DailyDemand_L*0.75)*INDEX('Rainfall Data'!$E$15:$E$26,11),0),TankCapacity_L)</f>
        <v>0</v>
      </c>
      <c r="U17" s="107">
        <f>MIN(MAX(T17+INDEX(ActiveMonthlyRain,12)*RoofArea_m2*CollectionEff-(DailyDemand_L*0.75)*INDEX('Rainfall Data'!$E$15:$E$26,12),0),TankCapacity_L)</f>
        <v>0</v>
      </c>
    </row>
    <row r="18" spans="2:21" ht="15" customHeight="1" x14ac:dyDescent="0.35">
      <c r="B18" s="117" t="s">
        <v>286</v>
      </c>
      <c r="C18" s="118">
        <v>1</v>
      </c>
      <c r="D18" s="103">
        <f>MIN(DailyDemand_L*INDEX('Rainfall Data'!$E$15:$E$26,1),MAX(TankInitial_L+INDEX(ActiveMonthlyRain,1)*RoofArea_m2*CollectionEff-DeadStorage_L,0))+MIN(DailyDemand_L*INDEX('Rainfall Data'!$E$15:$E$26,2),MAX(J18+INDEX(ActiveMonthlyRain,2)*RoofArea_m2*CollectionEff-DeadStorage_L,0))+MIN(DailyDemand_L*INDEX('Rainfall Data'!$E$15:$E$26,3),MAX(K18+INDEX(ActiveMonthlyRain,3)*RoofArea_m2*CollectionEff-DeadStorage_L,0))+MIN(DailyDemand_L*INDEX('Rainfall Data'!$E$15:$E$26,4),MAX(L18+INDEX(ActiveMonthlyRain,4)*RoofArea_m2*CollectionEff-DeadStorage_L,0))+MIN(DailyDemand_L*INDEX('Rainfall Data'!$E$15:$E$26,5),MAX(M18+INDEX(ActiveMonthlyRain,5)*RoofArea_m2*CollectionEff-DeadStorage_L,0))+MIN(DailyDemand_L*INDEX('Rainfall Data'!$E$15:$E$26,6),MAX(N18+INDEX(ActiveMonthlyRain,6)*RoofArea_m2*CollectionEff-DeadStorage_L,0))+MIN(DailyDemand_L*INDEX('Rainfall Data'!$E$15:$E$26,7),MAX(O18+INDEX(ActiveMonthlyRain,7)*RoofArea_m2*CollectionEff-DeadStorage_L,0))+MIN(DailyDemand_L*INDEX('Rainfall Data'!$E$15:$E$26,8),MAX(P18+INDEX(ActiveMonthlyRain,8)*RoofArea_m2*CollectionEff-DeadStorage_L,0))+MIN(DailyDemand_L*INDEX('Rainfall Data'!$E$15:$E$26,9),MAX(Q18+INDEX(ActiveMonthlyRain,9)*RoofArea_m2*CollectionEff-DeadStorage_L,0))+MIN(DailyDemand_L*INDEX('Rainfall Data'!$E$15:$E$26,10),MAX(R18+INDEX(ActiveMonthlyRain,10)*RoofArea_m2*CollectionEff-DeadStorage_L,0))+MIN(DailyDemand_L*INDEX('Rainfall Data'!$E$15:$E$26,11),MAX(S18+INDEX(ActiveMonthlyRain,11)*RoofArea_m2*CollectionEff-DeadStorage_L,0))+MIN(DailyDemand_L*INDEX('Rainfall Data'!$E$15:$E$26,12),MAX(T18+INDEX(ActiveMonthlyRain,12)*RoofArea_m2*CollectionEff-DeadStorage_L,0))</f>
        <v>26109.677499999998</v>
      </c>
      <c r="E18" s="119">
        <f>D18/(SUMPRODUCT(DailyDemand_L*'Rainfall Data'!$E$15:$E$26))</f>
        <v>0.2649383815322171</v>
      </c>
      <c r="J18" s="107">
        <f>MIN(MAX(TankInitial_L+INDEX(ActiveMonthlyRain,1)*RoofArea_m2*CollectionEff-DailyDemand_L*INDEX('Rainfall Data'!$E$15:$E$26,1),0),TankCapacity_L)</f>
        <v>0</v>
      </c>
      <c r="K18" s="107">
        <f>MIN(MAX(J18+INDEX(ActiveMonthlyRain,2)*RoofArea_m2*CollectionEff-DailyDemand_L*INDEX('Rainfall Data'!$E$15:$E$26,2),0),TankCapacity_L)</f>
        <v>0</v>
      </c>
      <c r="L18" s="107">
        <f>MIN(MAX(K18+INDEX(ActiveMonthlyRain,3)*RoofArea_m2*CollectionEff-DailyDemand_L*INDEX('Rainfall Data'!$E$15:$E$26,3),0),TankCapacity_L)</f>
        <v>0</v>
      </c>
      <c r="M18" s="107">
        <f>MIN(MAX(L18+INDEX(ActiveMonthlyRain,4)*RoofArea_m2*CollectionEff-DailyDemand_L*INDEX('Rainfall Data'!$E$15:$E$26,4),0),TankCapacity_L)</f>
        <v>0</v>
      </c>
      <c r="N18" s="107">
        <f>MIN(MAX(M18+INDEX(ActiveMonthlyRain,5)*RoofArea_m2*CollectionEff-DailyDemand_L*INDEX('Rainfall Data'!$E$15:$E$26,5),0),TankCapacity_L)</f>
        <v>0</v>
      </c>
      <c r="O18" s="107">
        <f>MIN(MAX(N18+INDEX(ActiveMonthlyRain,6)*RoofArea_m2*CollectionEff-DailyDemand_L*INDEX('Rainfall Data'!$E$15:$E$26,6),0),TankCapacity_L)</f>
        <v>0</v>
      </c>
      <c r="P18" s="107">
        <f>MIN(MAX(O18+INDEX(ActiveMonthlyRain,7)*RoofArea_m2*CollectionEff-DailyDemand_L*INDEX('Rainfall Data'!$E$15:$E$26,7),0),TankCapacity_L)</f>
        <v>2830.8324999999986</v>
      </c>
      <c r="Q18" s="107">
        <f>MIN(MAX(P18+INDEX(ActiveMonthlyRain,8)*RoofArea_m2*CollectionEff-DailyDemand_L*INDEX('Rainfall Data'!$E$15:$E$26,8),0),TankCapacity_L)</f>
        <v>4283.1009999999987</v>
      </c>
      <c r="R18" s="107">
        <f>MIN(MAX(Q18+INDEX(ActiveMonthlyRain,9)*RoofArea_m2*CollectionEff-DailyDemand_L*INDEX('Rainfall Data'!$E$15:$E$26,9),0),TankCapacity_L)</f>
        <v>0</v>
      </c>
      <c r="S18" s="107">
        <f>MIN(MAX(R18+INDEX(ActiveMonthlyRain,10)*RoofArea_m2*CollectionEff-DailyDemand_L*INDEX('Rainfall Data'!$E$15:$E$26,10),0),TankCapacity_L)</f>
        <v>0</v>
      </c>
      <c r="T18" s="107">
        <f>MIN(MAX(S18+INDEX(ActiveMonthlyRain,11)*RoofArea_m2*CollectionEff-DailyDemand_L*INDEX('Rainfall Data'!$E$15:$E$26,11),0),TankCapacity_L)</f>
        <v>0</v>
      </c>
      <c r="U18" s="107">
        <f>MIN(MAX(T18+INDEX(ActiveMonthlyRain,12)*RoofArea_m2*CollectionEff-DailyDemand_L*INDEX('Rainfall Data'!$E$15:$E$26,12),0),TankCapacity_L)</f>
        <v>0</v>
      </c>
    </row>
    <row r="19" spans="2:21" ht="15" customHeight="1" x14ac:dyDescent="0.35">
      <c r="B19" s="117" t="s">
        <v>287</v>
      </c>
      <c r="C19" s="118">
        <v>1.25</v>
      </c>
      <c r="D19" s="103">
        <f>MIN((DailyDemand_L*1.25)*INDEX('Rainfall Data'!$E$15:$E$26,1),MAX(TankInitial_L+INDEX(ActiveMonthlyRain,1)*RoofArea_m2*CollectionEff-DeadStorage_L,0))+MIN((DailyDemand_L*1.25)*INDEX('Rainfall Data'!$E$15:$E$26,2),MAX(J19+INDEX(ActiveMonthlyRain,2)*RoofArea_m2*CollectionEff-DeadStorage_L,0))+MIN((DailyDemand_L*1.25)*INDEX('Rainfall Data'!$E$15:$E$26,3),MAX(K19+INDEX(ActiveMonthlyRain,3)*RoofArea_m2*CollectionEff-DeadStorage_L,0))+MIN((DailyDemand_L*1.25)*INDEX('Rainfall Data'!$E$15:$E$26,4),MAX(L19+INDEX(ActiveMonthlyRain,4)*RoofArea_m2*CollectionEff-DeadStorage_L,0))+MIN((DailyDemand_L*1.25)*INDEX('Rainfall Data'!$E$15:$E$26,5),MAX(M19+INDEX(ActiveMonthlyRain,5)*RoofArea_m2*CollectionEff-DeadStorage_L,0))+MIN((DailyDemand_L*1.25)*INDEX('Rainfall Data'!$E$15:$E$26,6),MAX(N19+INDEX(ActiveMonthlyRain,6)*RoofArea_m2*CollectionEff-DeadStorage_L,0))+MIN((DailyDemand_L*1.25)*INDEX('Rainfall Data'!$E$15:$E$26,7),MAX(O19+INDEX(ActiveMonthlyRain,7)*RoofArea_m2*CollectionEff-DeadStorage_L,0))+MIN((DailyDemand_L*1.25)*INDEX('Rainfall Data'!$E$15:$E$26,8),MAX(P19+INDEX(ActiveMonthlyRain,8)*RoofArea_m2*CollectionEff-DeadStorage_L,0))+MIN((DailyDemand_L*1.25)*INDEX('Rainfall Data'!$E$15:$E$26,9),MAX(Q19+INDEX(ActiveMonthlyRain,9)*RoofArea_m2*CollectionEff-DeadStorage_L,0))+MIN((DailyDemand_L*1.25)*INDEX('Rainfall Data'!$E$15:$E$26,10),MAX(R19+INDEX(ActiveMonthlyRain,10)*RoofArea_m2*CollectionEff-DeadStorage_L,0))+MIN((DailyDemand_L*1.25)*INDEX('Rainfall Data'!$E$15:$E$26,11),MAX(S19+INDEX(ActiveMonthlyRain,11)*RoofArea_m2*CollectionEff-DeadStorage_L,0))+MIN((DailyDemand_L*1.25)*INDEX('Rainfall Data'!$E$15:$E$26,12),MAX(T19+INDEX(ActiveMonthlyRain,12)*RoofArea_m2*CollectionEff-DeadStorage_L,0))</f>
        <v>26007.778499999993</v>
      </c>
      <c r="E19" s="106">
        <f>D19/(SUMPRODUCT(DailyDemand_L*'Rainfall Data'!$E$15:$E$26))</f>
        <v>0.2639043987823439</v>
      </c>
      <c r="J19" s="107">
        <f>MIN(MAX(TankInitial_L+INDEX(ActiveMonthlyRain,1)*RoofArea_m2*CollectionEff-(DailyDemand_L*1.25)*INDEX('Rainfall Data'!$E$15:$E$26,1),0),TankCapacity_L)</f>
        <v>0</v>
      </c>
      <c r="K19" s="107">
        <f>MIN(MAX(J19+INDEX(ActiveMonthlyRain,2)*RoofArea_m2*CollectionEff-(DailyDemand_L*1.25)*INDEX('Rainfall Data'!$E$15:$E$26,2),0),TankCapacity_L)</f>
        <v>0</v>
      </c>
      <c r="L19" s="107">
        <f>MIN(MAX(K19+INDEX(ActiveMonthlyRain,3)*RoofArea_m2*CollectionEff-(DailyDemand_L*1.25)*INDEX('Rainfall Data'!$E$15:$E$26,3),0),TankCapacity_L)</f>
        <v>0</v>
      </c>
      <c r="M19" s="107">
        <f>MIN(MAX(L19+INDEX(ActiveMonthlyRain,4)*RoofArea_m2*CollectionEff-(DailyDemand_L*1.25)*INDEX('Rainfall Data'!$E$15:$E$26,4),0),TankCapacity_L)</f>
        <v>0</v>
      </c>
      <c r="N19" s="107">
        <f>MIN(MAX(M19+INDEX(ActiveMonthlyRain,5)*RoofArea_m2*CollectionEff-(DailyDemand_L*1.25)*INDEX('Rainfall Data'!$E$15:$E$26,5),0),TankCapacity_L)</f>
        <v>0</v>
      </c>
      <c r="O19" s="107">
        <f>MIN(MAX(N19+INDEX(ActiveMonthlyRain,6)*RoofArea_m2*CollectionEff-(DailyDemand_L*1.25)*INDEX('Rainfall Data'!$E$15:$E$26,6),0),TankCapacity_L)</f>
        <v>0</v>
      </c>
      <c r="P19" s="107">
        <f>MIN(MAX(O19+INDEX(ActiveMonthlyRain,7)*RoofArea_m2*CollectionEff-(DailyDemand_L*1.25)*INDEX('Rainfall Data'!$E$15:$E$26,7),0),TankCapacity_L)</f>
        <v>738.33249999999862</v>
      </c>
      <c r="Q19" s="107">
        <f>MIN(MAX(P19+INDEX(ActiveMonthlyRain,8)*RoofArea_m2*CollectionEff-(DailyDemand_L*1.25)*INDEX('Rainfall Data'!$E$15:$E$26,8),0),TankCapacity_L)</f>
        <v>98.100999999998749</v>
      </c>
      <c r="R19" s="107">
        <f>MIN(MAX(Q19+INDEX(ActiveMonthlyRain,9)*RoofArea_m2*CollectionEff-(DailyDemand_L*1.25)*INDEX('Rainfall Data'!$E$15:$E$26,9),0),TankCapacity_L)</f>
        <v>0</v>
      </c>
      <c r="S19" s="107">
        <f>MIN(MAX(R19+INDEX(ActiveMonthlyRain,10)*RoofArea_m2*CollectionEff-(DailyDemand_L*1.25)*INDEX('Rainfall Data'!$E$15:$E$26,10),0),TankCapacity_L)</f>
        <v>0</v>
      </c>
      <c r="T19" s="107">
        <f>MIN(MAX(S19+INDEX(ActiveMonthlyRain,11)*RoofArea_m2*CollectionEff-(DailyDemand_L*1.25)*INDEX('Rainfall Data'!$E$15:$E$26,11),0),TankCapacity_L)</f>
        <v>0</v>
      </c>
      <c r="U19" s="107">
        <f>MIN(MAX(T19+INDEX(ActiveMonthlyRain,12)*RoofArea_m2*CollectionEff-(DailyDemand_L*1.25)*INDEX('Rainfall Data'!$E$15:$E$26,12),0),TankCapacity_L)</f>
        <v>0</v>
      </c>
    </row>
    <row r="21" spans="2:21" ht="18" customHeight="1" x14ac:dyDescent="0.35">
      <c r="B21" s="151" t="s">
        <v>13</v>
      </c>
      <c r="C21" s="151"/>
      <c r="D21" s="151"/>
      <c r="E21" s="151"/>
    </row>
    <row r="22" spans="2:21" ht="15" customHeight="1" x14ac:dyDescent="0.35">
      <c r="B22" s="117" t="s">
        <v>285</v>
      </c>
      <c r="C22" s="118">
        <v>0.75</v>
      </c>
      <c r="D22" s="103">
        <f>MIN(DailyDemand_L*INDEX('Rainfall Data'!$E$15:$E$26,1),MAX(TankInitial_L+INDEX(ActiveMonthlyRain,1)*RoofArea_m2*CollectionEff*0.75-DeadStorage_L,0))+MIN(DailyDemand_L*INDEX('Rainfall Data'!$E$15:$E$26,2),MAX(J22+INDEX(ActiveMonthlyRain,2)*RoofArea_m2*CollectionEff*0.75-DeadStorage_L,0))+MIN(DailyDemand_L*INDEX('Rainfall Data'!$E$15:$E$26,3),MAX(K22+INDEX(ActiveMonthlyRain,3)*RoofArea_m2*CollectionEff*0.75-DeadStorage_L,0))+MIN(DailyDemand_L*INDEX('Rainfall Data'!$E$15:$E$26,4),MAX(L22+INDEX(ActiveMonthlyRain,4)*RoofArea_m2*CollectionEff*0.75-DeadStorage_L,0))+MIN(DailyDemand_L*INDEX('Rainfall Data'!$E$15:$E$26,5),MAX(M22+INDEX(ActiveMonthlyRain,5)*RoofArea_m2*CollectionEff*0.75-DeadStorage_L,0))+MIN(DailyDemand_L*INDEX('Rainfall Data'!$E$15:$E$26,6),MAX(N22+INDEX(ActiveMonthlyRain,6)*RoofArea_m2*CollectionEff*0.75-DeadStorage_L,0))+MIN(DailyDemand_L*INDEX('Rainfall Data'!$E$15:$E$26,7),MAX(O22+INDEX(ActiveMonthlyRain,7)*RoofArea_m2*CollectionEff*0.75-DeadStorage_L,0))+MIN(DailyDemand_L*INDEX('Rainfall Data'!$E$15:$E$26,8),MAX(P22+INDEX(ActiveMonthlyRain,8)*RoofArea_m2*CollectionEff*0.75-DeadStorage_L,0))+MIN(DailyDemand_L*INDEX('Rainfall Data'!$E$15:$E$26,9),MAX(Q22+INDEX(ActiveMonthlyRain,9)*RoofArea_m2*CollectionEff*0.75-DeadStorage_L,0))+MIN(DailyDemand_L*INDEX('Rainfall Data'!$E$15:$E$26,10),MAX(R22+INDEX(ActiveMonthlyRain,10)*RoofArea_m2*CollectionEff*0.75-DeadStorage_L,0))+MIN(DailyDemand_L*INDEX('Rainfall Data'!$E$15:$E$26,11),MAX(S22+INDEX(ActiveMonthlyRain,11)*RoofArea_m2*CollectionEff*0.75-DeadStorage_L,0))+MIN(DailyDemand_L*INDEX('Rainfall Data'!$E$15:$E$26,12),MAX(T22+INDEX(ActiveMonthlyRain,12)*RoofArea_m2*CollectionEff*0.75-DeadStorage_L,0))</f>
        <v>19062.8825</v>
      </c>
      <c r="E22" s="106">
        <f>D22/(SUMPRODUCT(DailyDemand_L*'Rainfall Data'!$E$15:$E$26))</f>
        <v>0.1934336123795028</v>
      </c>
      <c r="J22" s="107">
        <f>MIN(MAX(TankInitial_L+INDEX(ActiveMonthlyRain,1)*RoofArea_m2*CollectionEff*0.75-DailyDemand_L*INDEX('Rainfall Data'!$E$15:$E$26,1),0),TankCapacity_L)</f>
        <v>0</v>
      </c>
      <c r="K22" s="107">
        <f>MIN(MAX(J22+INDEX(ActiveMonthlyRain,2)*RoofArea_m2*CollectionEff*0.75-DailyDemand_L*INDEX('Rainfall Data'!$E$15:$E$26,2),0),TankCapacity_L)</f>
        <v>0</v>
      </c>
      <c r="L22" s="107">
        <f>MIN(MAX(K22+INDEX(ActiveMonthlyRain,3)*RoofArea_m2*CollectionEff*0.75-DailyDemand_L*INDEX('Rainfall Data'!$E$15:$E$26,3),0),TankCapacity_L)</f>
        <v>0</v>
      </c>
      <c r="M22" s="107">
        <f>MIN(MAX(L22+INDEX(ActiveMonthlyRain,4)*RoofArea_m2*CollectionEff*0.75-DailyDemand_L*INDEX('Rainfall Data'!$E$15:$E$26,4),0),TankCapacity_L)</f>
        <v>0</v>
      </c>
      <c r="N22" s="107">
        <f>MIN(MAX(M22+INDEX(ActiveMonthlyRain,5)*RoofArea_m2*CollectionEff*0.75-DailyDemand_L*INDEX('Rainfall Data'!$E$15:$E$26,5),0),TankCapacity_L)</f>
        <v>0</v>
      </c>
      <c r="O22" s="107">
        <f>MIN(MAX(N22+INDEX(ActiveMonthlyRain,6)*RoofArea_m2*CollectionEff*0.75-DailyDemand_L*INDEX('Rainfall Data'!$E$15:$E$26,6),0),TankCapacity_L)</f>
        <v>0</v>
      </c>
      <c r="P22" s="107">
        <f>MIN(MAX(O22+INDEX(ActiveMonthlyRain,7)*RoofArea_m2*CollectionEff*0.75-DailyDemand_L*INDEX('Rainfall Data'!$E$15:$E$26,7),0),TankCapacity_L)</f>
        <v>30.624374999999418</v>
      </c>
      <c r="Q22" s="107">
        <f>MIN(MAX(P22+INDEX(ActiveMonthlyRain,8)*RoofArea_m2*CollectionEff*0.75-DailyDemand_L*INDEX('Rainfall Data'!$E$15:$E$26,8),0),TankCapacity_L)</f>
        <v>0</v>
      </c>
      <c r="R22" s="107">
        <f>MIN(MAX(Q22+INDEX(ActiveMonthlyRain,9)*RoofArea_m2*CollectionEff*0.75-DailyDemand_L*INDEX('Rainfall Data'!$E$15:$E$26,9),0),TankCapacity_L)</f>
        <v>0</v>
      </c>
      <c r="S22" s="107">
        <f>MIN(MAX(R22+INDEX(ActiveMonthlyRain,10)*RoofArea_m2*CollectionEff*0.75-DailyDemand_L*INDEX('Rainfall Data'!$E$15:$E$26,10),0),TankCapacity_L)</f>
        <v>0</v>
      </c>
      <c r="T22" s="107">
        <f>MIN(MAX(S22+INDEX(ActiveMonthlyRain,11)*RoofArea_m2*CollectionEff*0.75-DailyDemand_L*INDEX('Rainfall Data'!$E$15:$E$26,11),0),TankCapacity_L)</f>
        <v>0</v>
      </c>
      <c r="U22" s="107">
        <f>MIN(MAX(T22+INDEX(ActiveMonthlyRain,12)*RoofArea_m2*CollectionEff*0.75-DailyDemand_L*INDEX('Rainfall Data'!$E$15:$E$26,12),0),TankCapacity_L)</f>
        <v>0</v>
      </c>
    </row>
    <row r="23" spans="2:21" ht="15" customHeight="1" x14ac:dyDescent="0.35">
      <c r="B23" s="117" t="s">
        <v>286</v>
      </c>
      <c r="C23" s="118">
        <v>1</v>
      </c>
      <c r="D23" s="103">
        <f>MIN(DailyDemand_L*INDEX('Rainfall Data'!$E$15:$E$26,1),MAX(TankInitial_L+INDEX(ActiveMonthlyRain,1)*RoofArea_m2*CollectionEff-DeadStorage_L,0))+MIN(DailyDemand_L*INDEX('Rainfall Data'!$E$15:$E$26,2),MAX(J23+INDEX(ActiveMonthlyRain,2)*RoofArea_m2*CollectionEff-DeadStorage_L,0))+MIN(DailyDemand_L*INDEX('Rainfall Data'!$E$15:$E$26,3),MAX(K23+INDEX(ActiveMonthlyRain,3)*RoofArea_m2*CollectionEff-DeadStorage_L,0))+MIN(DailyDemand_L*INDEX('Rainfall Data'!$E$15:$E$26,4),MAX(L23+INDEX(ActiveMonthlyRain,4)*RoofArea_m2*CollectionEff-DeadStorage_L,0))+MIN(DailyDemand_L*INDEX('Rainfall Data'!$E$15:$E$26,5),MAX(M23+INDEX(ActiveMonthlyRain,5)*RoofArea_m2*CollectionEff-DeadStorage_L,0))+MIN(DailyDemand_L*INDEX('Rainfall Data'!$E$15:$E$26,6),MAX(N23+INDEX(ActiveMonthlyRain,6)*RoofArea_m2*CollectionEff-DeadStorage_L,0))+MIN(DailyDemand_L*INDEX('Rainfall Data'!$E$15:$E$26,7),MAX(O23+INDEX(ActiveMonthlyRain,7)*RoofArea_m2*CollectionEff-DeadStorage_L,0))+MIN(DailyDemand_L*INDEX('Rainfall Data'!$E$15:$E$26,8),MAX(P23+INDEX(ActiveMonthlyRain,8)*RoofArea_m2*CollectionEff-DeadStorage_L,0))+MIN(DailyDemand_L*INDEX('Rainfall Data'!$E$15:$E$26,9),MAX(Q23+INDEX(ActiveMonthlyRain,9)*RoofArea_m2*CollectionEff-DeadStorage_L,0))+MIN(DailyDemand_L*INDEX('Rainfall Data'!$E$15:$E$26,10),MAX(R23+INDEX(ActiveMonthlyRain,10)*RoofArea_m2*CollectionEff-DeadStorage_L,0))+MIN(DailyDemand_L*INDEX('Rainfall Data'!$E$15:$E$26,11),MAX(S23+INDEX(ActiveMonthlyRain,11)*RoofArea_m2*CollectionEff-DeadStorage_L,0))+MIN(DailyDemand_L*INDEX('Rainfall Data'!$E$15:$E$26,12),MAX(T23+INDEX(ActiveMonthlyRain,12)*RoofArea_m2*CollectionEff-DeadStorage_L,0))</f>
        <v>26109.677499999998</v>
      </c>
      <c r="E23" s="119">
        <f>D23/(SUMPRODUCT(DailyDemand_L*'Rainfall Data'!$E$15:$E$26))</f>
        <v>0.2649383815322171</v>
      </c>
      <c r="J23" s="107">
        <f>MIN(MAX(TankInitial_L+INDEX(ActiveMonthlyRain,1)*RoofArea_m2*CollectionEff-DailyDemand_L*INDEX('Rainfall Data'!$E$15:$E$26,1),0),TankCapacity_L)</f>
        <v>0</v>
      </c>
      <c r="K23" s="107">
        <f>MIN(MAX(J23+INDEX(ActiveMonthlyRain,2)*RoofArea_m2*CollectionEff-DailyDemand_L*INDEX('Rainfall Data'!$E$15:$E$26,2),0),TankCapacity_L)</f>
        <v>0</v>
      </c>
      <c r="L23" s="107">
        <f>MIN(MAX(K23+INDEX(ActiveMonthlyRain,3)*RoofArea_m2*CollectionEff-DailyDemand_L*INDEX('Rainfall Data'!$E$15:$E$26,3),0),TankCapacity_L)</f>
        <v>0</v>
      </c>
      <c r="M23" s="107">
        <f>MIN(MAX(L23+INDEX(ActiveMonthlyRain,4)*RoofArea_m2*CollectionEff-DailyDemand_L*INDEX('Rainfall Data'!$E$15:$E$26,4),0),TankCapacity_L)</f>
        <v>0</v>
      </c>
      <c r="N23" s="107">
        <f>MIN(MAX(M23+INDEX(ActiveMonthlyRain,5)*RoofArea_m2*CollectionEff-DailyDemand_L*INDEX('Rainfall Data'!$E$15:$E$26,5),0),TankCapacity_L)</f>
        <v>0</v>
      </c>
      <c r="O23" s="107">
        <f>MIN(MAX(N23+INDEX(ActiveMonthlyRain,6)*RoofArea_m2*CollectionEff-DailyDemand_L*INDEX('Rainfall Data'!$E$15:$E$26,6),0),TankCapacity_L)</f>
        <v>0</v>
      </c>
      <c r="P23" s="107">
        <f>MIN(MAX(O23+INDEX(ActiveMonthlyRain,7)*RoofArea_m2*CollectionEff-DailyDemand_L*INDEX('Rainfall Data'!$E$15:$E$26,7),0),TankCapacity_L)</f>
        <v>2830.8324999999986</v>
      </c>
      <c r="Q23" s="107">
        <f>MIN(MAX(P23+INDEX(ActiveMonthlyRain,8)*RoofArea_m2*CollectionEff-DailyDemand_L*INDEX('Rainfall Data'!$E$15:$E$26,8),0),TankCapacity_L)</f>
        <v>4283.1009999999987</v>
      </c>
      <c r="R23" s="107">
        <f>MIN(MAX(Q23+INDEX(ActiveMonthlyRain,9)*RoofArea_m2*CollectionEff-DailyDemand_L*INDEX('Rainfall Data'!$E$15:$E$26,9),0),TankCapacity_L)</f>
        <v>0</v>
      </c>
      <c r="S23" s="107">
        <f>MIN(MAX(R23+INDEX(ActiveMonthlyRain,10)*RoofArea_m2*CollectionEff-DailyDemand_L*INDEX('Rainfall Data'!$E$15:$E$26,10),0),TankCapacity_L)</f>
        <v>0</v>
      </c>
      <c r="T23" s="107">
        <f>MIN(MAX(S23+INDEX(ActiveMonthlyRain,11)*RoofArea_m2*CollectionEff-DailyDemand_L*INDEX('Rainfall Data'!$E$15:$E$26,11),0),TankCapacity_L)</f>
        <v>0</v>
      </c>
      <c r="U23" s="107">
        <f>MIN(MAX(T23+INDEX(ActiveMonthlyRain,12)*RoofArea_m2*CollectionEff-DailyDemand_L*INDEX('Rainfall Data'!$E$15:$E$26,12),0),TankCapacity_L)</f>
        <v>0</v>
      </c>
    </row>
    <row r="24" spans="2:21" ht="15" customHeight="1" x14ac:dyDescent="0.35">
      <c r="B24" s="117" t="s">
        <v>287</v>
      </c>
      <c r="C24" s="118">
        <v>1.25</v>
      </c>
      <c r="D24" s="103">
        <f>MIN(DailyDemand_L*INDEX('Rainfall Data'!$E$15:$E$26,1),MAX(TankInitial_L+INDEX(ActiveMonthlyRain,1)*RoofArea_m2*CollectionEff*1.25-DeadStorage_L,0))+MIN(DailyDemand_L*INDEX('Rainfall Data'!$E$15:$E$26,2),MAX(J24+INDEX(ActiveMonthlyRain,2)*RoofArea_m2*CollectionEff*1.25-DeadStorage_L,0))+MIN(DailyDemand_L*INDEX('Rainfall Data'!$E$15:$E$26,3),MAX(K24+INDEX(ActiveMonthlyRain,3)*RoofArea_m2*CollectionEff*1.25-DeadStorage_L,0))+MIN(DailyDemand_L*INDEX('Rainfall Data'!$E$15:$E$26,4),MAX(L24+INDEX(ActiveMonthlyRain,4)*RoofArea_m2*CollectionEff*1.25-DeadStorage_L,0))+MIN(DailyDemand_L*INDEX('Rainfall Data'!$E$15:$E$26,5),MAX(M24+INDEX(ActiveMonthlyRain,5)*RoofArea_m2*CollectionEff*1.25-DeadStorage_L,0))+MIN(DailyDemand_L*INDEX('Rainfall Data'!$E$15:$E$26,6),MAX(N24+INDEX(ActiveMonthlyRain,6)*RoofArea_m2*CollectionEff*1.25-DeadStorage_L,0))+MIN(DailyDemand_L*INDEX('Rainfall Data'!$E$15:$E$26,7),MAX(O24+INDEX(ActiveMonthlyRain,7)*RoofArea_m2*CollectionEff*1.25-DeadStorage_L,0))+MIN(DailyDemand_L*INDEX('Rainfall Data'!$E$15:$E$26,8),MAX(P24+INDEX(ActiveMonthlyRain,8)*RoofArea_m2*CollectionEff*1.25-DeadStorage_L,0))+MIN(DailyDemand_L*INDEX('Rainfall Data'!$E$15:$E$26,9),MAX(Q24+INDEX(ActiveMonthlyRain,9)*RoofArea_m2*CollectionEff*1.25-DeadStorage_L,0))+MIN(DailyDemand_L*INDEX('Rainfall Data'!$E$15:$E$26,10),MAX(R24+INDEX(ActiveMonthlyRain,10)*RoofArea_m2*CollectionEff*1.25-DeadStorage_L,0))+MIN(DailyDemand_L*INDEX('Rainfall Data'!$E$15:$E$26,11),MAX(S24+INDEX(ActiveMonthlyRain,11)*RoofArea_m2*CollectionEff*1.25-DeadStorage_L,0))+MIN(DailyDemand_L*INDEX('Rainfall Data'!$E$15:$E$26,12),MAX(T24+INDEX(ActiveMonthlyRain,12)*RoofArea_m2*CollectionEff*1.25-DeadStorage_L,0))</f>
        <v>28410.031249999996</v>
      </c>
      <c r="E24" s="106">
        <f>D24/(SUMPRODUCT(DailyDemand_L*'Rainfall Data'!$E$15:$E$26))</f>
        <v>0.28828037798072043</v>
      </c>
      <c r="J24" s="107">
        <f>MIN(MAX(TankInitial_L+INDEX(ActiveMonthlyRain,1)*RoofArea_m2*CollectionEff*1.25-DailyDemand_L*INDEX('Rainfall Data'!$E$15:$E$26,1),0),TankCapacity_L)</f>
        <v>0</v>
      </c>
      <c r="K24" s="107">
        <f>MIN(MAX(J24+INDEX(ActiveMonthlyRain,2)*RoofArea_m2*CollectionEff*1.25-DailyDemand_L*INDEX('Rainfall Data'!$E$15:$E$26,2),0),TankCapacity_L)</f>
        <v>0</v>
      </c>
      <c r="L24" s="107">
        <f>MIN(MAX(K24+INDEX(ActiveMonthlyRain,3)*RoofArea_m2*CollectionEff*1.25-DailyDemand_L*INDEX('Rainfall Data'!$E$15:$E$26,3),0),TankCapacity_L)</f>
        <v>0</v>
      </c>
      <c r="M24" s="107">
        <f>MIN(MAX(L24+INDEX(ActiveMonthlyRain,4)*RoofArea_m2*CollectionEff*1.25-DailyDemand_L*INDEX('Rainfall Data'!$E$15:$E$26,4),0),TankCapacity_L)</f>
        <v>0</v>
      </c>
      <c r="N24" s="107">
        <f>MIN(MAX(M24+INDEX(ActiveMonthlyRain,5)*RoofArea_m2*CollectionEff*1.25-DailyDemand_L*INDEX('Rainfall Data'!$E$15:$E$26,5),0),TankCapacity_L)</f>
        <v>0</v>
      </c>
      <c r="O24" s="107">
        <f>MIN(MAX(N24+INDEX(ActiveMonthlyRain,6)*RoofArea_m2*CollectionEff*1.25-DailyDemand_L*INDEX('Rainfall Data'!$E$15:$E$26,6),0),TankCapacity_L)</f>
        <v>0</v>
      </c>
      <c r="P24" s="107">
        <f>MIN(MAX(O24+INDEX(ActiveMonthlyRain,7)*RoofArea_m2*CollectionEff*1.25-DailyDemand_L*INDEX('Rainfall Data'!$E$15:$E$26,7),0),TankCapacity_L)</f>
        <v>5000</v>
      </c>
      <c r="Q24" s="107">
        <f>MIN(MAX(P24+INDEX(ActiveMonthlyRain,8)*RoofArea_m2*CollectionEff*1.25-DailyDemand_L*INDEX('Rainfall Data'!$E$15:$E$26,8),0),TankCapacity_L)</f>
        <v>5000</v>
      </c>
      <c r="R24" s="107">
        <f>MIN(MAX(Q24+INDEX(ActiveMonthlyRain,9)*RoofArea_m2*CollectionEff*1.25-DailyDemand_L*INDEX('Rainfall Data'!$E$15:$E$26,9),0),TankCapacity_L)</f>
        <v>131.00937499999964</v>
      </c>
      <c r="S24" s="107">
        <f>MIN(MAX(R24+INDEX(ActiveMonthlyRain,10)*RoofArea_m2*CollectionEff*1.25-DailyDemand_L*INDEX('Rainfall Data'!$E$15:$E$26,10),0),TankCapacity_L)</f>
        <v>0</v>
      </c>
      <c r="T24" s="107">
        <f>MIN(MAX(S24+INDEX(ActiveMonthlyRain,11)*RoofArea_m2*CollectionEff*1.25-DailyDemand_L*INDEX('Rainfall Data'!$E$15:$E$26,11),0),TankCapacity_L)</f>
        <v>0</v>
      </c>
      <c r="U24" s="107">
        <f>MIN(MAX(T24+INDEX(ActiveMonthlyRain,12)*RoofArea_m2*CollectionEff*1.25-DailyDemand_L*INDEX('Rainfall Data'!$E$15:$E$26,12),0),TankCapacity_L)</f>
        <v>0</v>
      </c>
    </row>
    <row r="26" spans="2:21" ht="18" customHeight="1" x14ac:dyDescent="0.35">
      <c r="B26" s="151" t="s">
        <v>2</v>
      </c>
      <c r="C26" s="151"/>
      <c r="D26" s="151"/>
      <c r="E26" s="151"/>
    </row>
    <row r="27" spans="2:21" ht="15" customHeight="1" x14ac:dyDescent="0.35">
      <c r="B27" s="117" t="s">
        <v>285</v>
      </c>
      <c r="C27" s="118">
        <v>0.75</v>
      </c>
      <c r="D27" s="103">
        <f>MIN(DailyDemand_L*INDEX('Rainfall Data'!$E$15:$E$26,1),MAX(TankInitial_L+INDEX(ActiveMonthlyRain,1)*RoofArea_m2*CollectionEff-DeadStorage_L,0))+MIN(DailyDemand_L*INDEX('Rainfall Data'!$E$15:$E$26,2),MAX(J27+INDEX(ActiveMonthlyRain,2)*RoofArea_m2*CollectionEff-DeadStorage_L,0))+MIN(DailyDemand_L*INDEX('Rainfall Data'!$E$15:$E$26,3),MAX(K27+INDEX(ActiveMonthlyRain,3)*RoofArea_m2*CollectionEff-DeadStorage_L,0))+MIN(DailyDemand_L*INDEX('Rainfall Data'!$E$15:$E$26,4),MAX(L27+INDEX(ActiveMonthlyRain,4)*RoofArea_m2*CollectionEff-DeadStorage_L,0))+MIN(DailyDemand_L*INDEX('Rainfall Data'!$E$15:$E$26,5),MAX(M27+INDEX(ActiveMonthlyRain,5)*RoofArea_m2*CollectionEff-DeadStorage_L,0))+MIN(DailyDemand_L*INDEX('Rainfall Data'!$E$15:$E$26,6),MAX(N27+INDEX(ActiveMonthlyRain,6)*RoofArea_m2*CollectionEff-DeadStorage_L,0))+MIN(DailyDemand_L*INDEX('Rainfall Data'!$E$15:$E$26,7),MAX(O27+INDEX(ActiveMonthlyRain,7)*RoofArea_m2*CollectionEff-DeadStorage_L,0))+MIN(DailyDemand_L*INDEX('Rainfall Data'!$E$15:$E$26,8),MAX(P27+INDEX(ActiveMonthlyRain,8)*RoofArea_m2*CollectionEff-DeadStorage_L,0))+MIN(DailyDemand_L*INDEX('Rainfall Data'!$E$15:$E$26,9),MAX(Q27+INDEX(ActiveMonthlyRain,9)*RoofArea_m2*CollectionEff-DeadStorage_L,0))+MIN(DailyDemand_L*INDEX('Rainfall Data'!$E$15:$E$26,10),MAX(R27+INDEX(ActiveMonthlyRain,10)*RoofArea_m2*CollectionEff-DeadStorage_L,0))+MIN(DailyDemand_L*INDEX('Rainfall Data'!$E$15:$E$26,11),MAX(S27+INDEX(ActiveMonthlyRain,11)*RoofArea_m2*CollectionEff-DeadStorage_L,0))+MIN(DailyDemand_L*INDEX('Rainfall Data'!$E$15:$E$26,12),MAX(T27+INDEX(ActiveMonthlyRain,12)*RoofArea_m2*CollectionEff-DeadStorage_L,0))</f>
        <v>25576.576499999999</v>
      </c>
      <c r="E27" s="106">
        <f>D27/(SUMPRODUCT(DailyDemand_L*'Rainfall Data'!$E$15:$E$26))</f>
        <v>0.25952893455098935</v>
      </c>
      <c r="J27" s="107">
        <f>MIN(MAX(TankInitial_L+INDEX(ActiveMonthlyRain,1)*RoofArea_m2*CollectionEff-DailyDemand_L*INDEX('Rainfall Data'!$E$15:$E$26,1),0),(TankCapacity_L*0.75))</f>
        <v>0</v>
      </c>
      <c r="K27" s="107">
        <f>MIN(MAX(J27+INDEX(ActiveMonthlyRain,2)*RoofArea_m2*CollectionEff-DailyDemand_L*INDEX('Rainfall Data'!$E$15:$E$26,2),0),(TankCapacity_L*0.75))</f>
        <v>0</v>
      </c>
      <c r="L27" s="107">
        <f>MIN(MAX(K27+INDEX(ActiveMonthlyRain,3)*RoofArea_m2*CollectionEff-DailyDemand_L*INDEX('Rainfall Data'!$E$15:$E$26,3),0),(TankCapacity_L*0.75))</f>
        <v>0</v>
      </c>
      <c r="M27" s="107">
        <f>MIN(MAX(L27+INDEX(ActiveMonthlyRain,4)*RoofArea_m2*CollectionEff-DailyDemand_L*INDEX('Rainfall Data'!$E$15:$E$26,4),0),(TankCapacity_L*0.75))</f>
        <v>0</v>
      </c>
      <c r="N27" s="107">
        <f>MIN(MAX(M27+INDEX(ActiveMonthlyRain,5)*RoofArea_m2*CollectionEff-DailyDemand_L*INDEX('Rainfall Data'!$E$15:$E$26,5),0),(TankCapacity_L*0.75))</f>
        <v>0</v>
      </c>
      <c r="O27" s="107">
        <f>MIN(MAX(N27+INDEX(ActiveMonthlyRain,6)*RoofArea_m2*CollectionEff-DailyDemand_L*INDEX('Rainfall Data'!$E$15:$E$26,6),0),(TankCapacity_L*0.75))</f>
        <v>0</v>
      </c>
      <c r="P27" s="107">
        <f>MIN(MAX(O27+INDEX(ActiveMonthlyRain,7)*RoofArea_m2*CollectionEff-DailyDemand_L*INDEX('Rainfall Data'!$E$15:$E$26,7),0),(TankCapacity_L*0.75))</f>
        <v>2830.8324999999986</v>
      </c>
      <c r="Q27" s="107">
        <f>MIN(MAX(P27+INDEX(ActiveMonthlyRain,8)*RoofArea_m2*CollectionEff-DailyDemand_L*INDEX('Rainfall Data'!$E$15:$E$26,8),0),(TankCapacity_L*0.75))</f>
        <v>3750</v>
      </c>
      <c r="R27" s="107">
        <f>MIN(MAX(Q27+INDEX(ActiveMonthlyRain,9)*RoofArea_m2*CollectionEff-DailyDemand_L*INDEX('Rainfall Data'!$E$15:$E$26,9),0),(TankCapacity_L*0.75))</f>
        <v>0</v>
      </c>
      <c r="S27" s="107">
        <f>MIN(MAX(R27+INDEX(ActiveMonthlyRain,10)*RoofArea_m2*CollectionEff-DailyDemand_L*INDEX('Rainfall Data'!$E$15:$E$26,10),0),(TankCapacity_L*0.75))</f>
        <v>0</v>
      </c>
      <c r="T27" s="107">
        <f>MIN(MAX(S27+INDEX(ActiveMonthlyRain,11)*RoofArea_m2*CollectionEff-DailyDemand_L*INDEX('Rainfall Data'!$E$15:$E$26,11),0),(TankCapacity_L*0.75))</f>
        <v>0</v>
      </c>
      <c r="U27" s="107">
        <f>MIN(MAX(T27+INDEX(ActiveMonthlyRain,12)*RoofArea_m2*CollectionEff-DailyDemand_L*INDEX('Rainfall Data'!$E$15:$E$26,12),0),(TankCapacity_L*0.75))</f>
        <v>0</v>
      </c>
    </row>
    <row r="28" spans="2:21" ht="15" customHeight="1" x14ac:dyDescent="0.35">
      <c r="B28" s="117" t="s">
        <v>286</v>
      </c>
      <c r="C28" s="118">
        <v>1</v>
      </c>
      <c r="D28" s="103">
        <f>MIN(DailyDemand_L*INDEX('Rainfall Data'!$E$15:$E$26,1),MAX(TankInitial_L+INDEX(ActiveMonthlyRain,1)*RoofArea_m2*CollectionEff-DeadStorage_L,0))+MIN(DailyDemand_L*INDEX('Rainfall Data'!$E$15:$E$26,2),MAX(J28+INDEX(ActiveMonthlyRain,2)*RoofArea_m2*CollectionEff-DeadStorage_L,0))+MIN(DailyDemand_L*INDEX('Rainfall Data'!$E$15:$E$26,3),MAX(K28+INDEX(ActiveMonthlyRain,3)*RoofArea_m2*CollectionEff-DeadStorage_L,0))+MIN(DailyDemand_L*INDEX('Rainfall Data'!$E$15:$E$26,4),MAX(L28+INDEX(ActiveMonthlyRain,4)*RoofArea_m2*CollectionEff-DeadStorage_L,0))+MIN(DailyDemand_L*INDEX('Rainfall Data'!$E$15:$E$26,5),MAX(M28+INDEX(ActiveMonthlyRain,5)*RoofArea_m2*CollectionEff-DeadStorage_L,0))+MIN(DailyDemand_L*INDEX('Rainfall Data'!$E$15:$E$26,6),MAX(N28+INDEX(ActiveMonthlyRain,6)*RoofArea_m2*CollectionEff-DeadStorage_L,0))+MIN(DailyDemand_L*INDEX('Rainfall Data'!$E$15:$E$26,7),MAX(O28+INDEX(ActiveMonthlyRain,7)*RoofArea_m2*CollectionEff-DeadStorage_L,0))+MIN(DailyDemand_L*INDEX('Rainfall Data'!$E$15:$E$26,8),MAX(P28+INDEX(ActiveMonthlyRain,8)*RoofArea_m2*CollectionEff-DeadStorage_L,0))+MIN(DailyDemand_L*INDEX('Rainfall Data'!$E$15:$E$26,9),MAX(Q28+INDEX(ActiveMonthlyRain,9)*RoofArea_m2*CollectionEff-DeadStorage_L,0))+MIN(DailyDemand_L*INDEX('Rainfall Data'!$E$15:$E$26,10),MAX(R28+INDEX(ActiveMonthlyRain,10)*RoofArea_m2*CollectionEff-DeadStorage_L,0))+MIN(DailyDemand_L*INDEX('Rainfall Data'!$E$15:$E$26,11),MAX(S28+INDEX(ActiveMonthlyRain,11)*RoofArea_m2*CollectionEff-DeadStorage_L,0))+MIN(DailyDemand_L*INDEX('Rainfall Data'!$E$15:$E$26,12),MAX(T28+INDEX(ActiveMonthlyRain,12)*RoofArea_m2*CollectionEff-DeadStorage_L,0))</f>
        <v>26109.677499999998</v>
      </c>
      <c r="E28" s="119">
        <f>D28/(SUMPRODUCT(DailyDemand_L*'Rainfall Data'!$E$15:$E$26))</f>
        <v>0.2649383815322171</v>
      </c>
      <c r="J28" s="107">
        <f>MIN(MAX(TankInitial_L+INDEX(ActiveMonthlyRain,1)*RoofArea_m2*CollectionEff-DailyDemand_L*INDEX('Rainfall Data'!$E$15:$E$26,1),0),(TankCapacity_L*1))</f>
        <v>0</v>
      </c>
      <c r="K28" s="107">
        <f>MIN(MAX(J28+INDEX(ActiveMonthlyRain,2)*RoofArea_m2*CollectionEff-DailyDemand_L*INDEX('Rainfall Data'!$E$15:$E$26,2),0),(TankCapacity_L*1))</f>
        <v>0</v>
      </c>
      <c r="L28" s="107">
        <f>MIN(MAX(K28+INDEX(ActiveMonthlyRain,3)*RoofArea_m2*CollectionEff-DailyDemand_L*INDEX('Rainfall Data'!$E$15:$E$26,3),0),(TankCapacity_L*1))</f>
        <v>0</v>
      </c>
      <c r="M28" s="107">
        <f>MIN(MAX(L28+INDEX(ActiveMonthlyRain,4)*RoofArea_m2*CollectionEff-DailyDemand_L*INDEX('Rainfall Data'!$E$15:$E$26,4),0),(TankCapacity_L*1))</f>
        <v>0</v>
      </c>
      <c r="N28" s="107">
        <f>MIN(MAX(M28+INDEX(ActiveMonthlyRain,5)*RoofArea_m2*CollectionEff-DailyDemand_L*INDEX('Rainfall Data'!$E$15:$E$26,5),0),(TankCapacity_L*1))</f>
        <v>0</v>
      </c>
      <c r="O28" s="107">
        <f>MIN(MAX(N28+INDEX(ActiveMonthlyRain,6)*RoofArea_m2*CollectionEff-DailyDemand_L*INDEX('Rainfall Data'!$E$15:$E$26,6),0),(TankCapacity_L*1))</f>
        <v>0</v>
      </c>
      <c r="P28" s="107">
        <f>MIN(MAX(O28+INDEX(ActiveMonthlyRain,7)*RoofArea_m2*CollectionEff-DailyDemand_L*INDEX('Rainfall Data'!$E$15:$E$26,7),0),(TankCapacity_L*1))</f>
        <v>2830.8324999999986</v>
      </c>
      <c r="Q28" s="107">
        <f>MIN(MAX(P28+INDEX(ActiveMonthlyRain,8)*RoofArea_m2*CollectionEff-DailyDemand_L*INDEX('Rainfall Data'!$E$15:$E$26,8),0),(TankCapacity_L*1))</f>
        <v>4283.1009999999987</v>
      </c>
      <c r="R28" s="107">
        <f>MIN(MAX(Q28+INDEX(ActiveMonthlyRain,9)*RoofArea_m2*CollectionEff-DailyDemand_L*INDEX('Rainfall Data'!$E$15:$E$26,9),0),(TankCapacity_L*1))</f>
        <v>0</v>
      </c>
      <c r="S28" s="107">
        <f>MIN(MAX(R28+INDEX(ActiveMonthlyRain,10)*RoofArea_m2*CollectionEff-DailyDemand_L*INDEX('Rainfall Data'!$E$15:$E$26,10),0),(TankCapacity_L*1))</f>
        <v>0</v>
      </c>
      <c r="T28" s="107">
        <f>MIN(MAX(S28+INDEX(ActiveMonthlyRain,11)*RoofArea_m2*CollectionEff-DailyDemand_L*INDEX('Rainfall Data'!$E$15:$E$26,11),0),(TankCapacity_L*1))</f>
        <v>0</v>
      </c>
      <c r="U28" s="107">
        <f>MIN(MAX(T28+INDEX(ActiveMonthlyRain,12)*RoofArea_m2*CollectionEff-DailyDemand_L*INDEX('Rainfall Data'!$E$15:$E$26,12),0),(TankCapacity_L*1))</f>
        <v>0</v>
      </c>
    </row>
    <row r="29" spans="2:21" ht="15" customHeight="1" x14ac:dyDescent="0.35">
      <c r="B29" s="117" t="s">
        <v>287</v>
      </c>
      <c r="C29" s="118">
        <v>1.25</v>
      </c>
      <c r="D29" s="103">
        <f>MIN(DailyDemand_L*INDEX('Rainfall Data'!$E$15:$E$26,1),MAX(TankInitial_L+INDEX(ActiveMonthlyRain,1)*RoofArea_m2*CollectionEff-DeadStorage_L,0))+MIN(DailyDemand_L*INDEX('Rainfall Data'!$E$15:$E$26,2),MAX(J29+INDEX(ActiveMonthlyRain,2)*RoofArea_m2*CollectionEff-DeadStorage_L,0))+MIN(DailyDemand_L*INDEX('Rainfall Data'!$E$15:$E$26,3),MAX(K29+INDEX(ActiveMonthlyRain,3)*RoofArea_m2*CollectionEff-DeadStorage_L,0))+MIN(DailyDemand_L*INDEX('Rainfall Data'!$E$15:$E$26,4),MAX(L29+INDEX(ActiveMonthlyRain,4)*RoofArea_m2*CollectionEff-DeadStorage_L,0))+MIN(DailyDemand_L*INDEX('Rainfall Data'!$E$15:$E$26,5),MAX(M29+INDEX(ActiveMonthlyRain,5)*RoofArea_m2*CollectionEff-DeadStorage_L,0))+MIN(DailyDemand_L*INDEX('Rainfall Data'!$E$15:$E$26,6),MAX(N29+INDEX(ActiveMonthlyRain,6)*RoofArea_m2*CollectionEff-DeadStorage_L,0))+MIN(DailyDemand_L*INDEX('Rainfall Data'!$E$15:$E$26,7),MAX(O29+INDEX(ActiveMonthlyRain,7)*RoofArea_m2*CollectionEff-DeadStorage_L,0))+MIN(DailyDemand_L*INDEX('Rainfall Data'!$E$15:$E$26,8),MAX(P29+INDEX(ActiveMonthlyRain,8)*RoofArea_m2*CollectionEff-DeadStorage_L,0))+MIN(DailyDemand_L*INDEX('Rainfall Data'!$E$15:$E$26,9),MAX(Q29+INDEX(ActiveMonthlyRain,9)*RoofArea_m2*CollectionEff-DeadStorage_L,0))+MIN(DailyDemand_L*INDEX('Rainfall Data'!$E$15:$E$26,10),MAX(R29+INDEX(ActiveMonthlyRain,10)*RoofArea_m2*CollectionEff-DeadStorage_L,0))+MIN(DailyDemand_L*INDEX('Rainfall Data'!$E$15:$E$26,11),MAX(S29+INDEX(ActiveMonthlyRain,11)*RoofArea_m2*CollectionEff-DeadStorage_L,0))+MIN(DailyDemand_L*INDEX('Rainfall Data'!$E$15:$E$26,12),MAX(T29+INDEX(ActiveMonthlyRain,12)*RoofArea_m2*CollectionEff-DeadStorage_L,0))</f>
        <v>26109.677499999998</v>
      </c>
      <c r="E29" s="106">
        <f>D29/(SUMPRODUCT(DailyDemand_L*'Rainfall Data'!$E$15:$E$26))</f>
        <v>0.2649383815322171</v>
      </c>
      <c r="J29" s="107">
        <f>MIN(MAX(TankInitial_L+INDEX(ActiveMonthlyRain,1)*RoofArea_m2*CollectionEff-DailyDemand_L*INDEX('Rainfall Data'!$E$15:$E$26,1),0),(TankCapacity_L*1.25))</f>
        <v>0</v>
      </c>
      <c r="K29" s="107">
        <f>MIN(MAX(J29+INDEX(ActiveMonthlyRain,2)*RoofArea_m2*CollectionEff-DailyDemand_L*INDEX('Rainfall Data'!$E$15:$E$26,2),0),(TankCapacity_L*1.25))</f>
        <v>0</v>
      </c>
      <c r="L29" s="107">
        <f>MIN(MAX(K29+INDEX(ActiveMonthlyRain,3)*RoofArea_m2*CollectionEff-DailyDemand_L*INDEX('Rainfall Data'!$E$15:$E$26,3),0),(TankCapacity_L*1.25))</f>
        <v>0</v>
      </c>
      <c r="M29" s="107">
        <f>MIN(MAX(L29+INDEX(ActiveMonthlyRain,4)*RoofArea_m2*CollectionEff-DailyDemand_L*INDEX('Rainfall Data'!$E$15:$E$26,4),0),(TankCapacity_L*1.25))</f>
        <v>0</v>
      </c>
      <c r="N29" s="107">
        <f>MIN(MAX(M29+INDEX(ActiveMonthlyRain,5)*RoofArea_m2*CollectionEff-DailyDemand_L*INDEX('Rainfall Data'!$E$15:$E$26,5),0),(TankCapacity_L*1.25))</f>
        <v>0</v>
      </c>
      <c r="O29" s="107">
        <f>MIN(MAX(N29+INDEX(ActiveMonthlyRain,6)*RoofArea_m2*CollectionEff-DailyDemand_L*INDEX('Rainfall Data'!$E$15:$E$26,6),0),(TankCapacity_L*1.25))</f>
        <v>0</v>
      </c>
      <c r="P29" s="107">
        <f>MIN(MAX(O29+INDEX(ActiveMonthlyRain,7)*RoofArea_m2*CollectionEff-DailyDemand_L*INDEX('Rainfall Data'!$E$15:$E$26,7),0),(TankCapacity_L*1.25))</f>
        <v>2830.8324999999986</v>
      </c>
      <c r="Q29" s="107">
        <f>MIN(MAX(P29+INDEX(ActiveMonthlyRain,8)*RoofArea_m2*CollectionEff-DailyDemand_L*INDEX('Rainfall Data'!$E$15:$E$26,8),0),(TankCapacity_L*1.25))</f>
        <v>4283.1009999999987</v>
      </c>
      <c r="R29" s="107">
        <f>MIN(MAX(Q29+INDEX(ActiveMonthlyRain,9)*RoofArea_m2*CollectionEff-DailyDemand_L*INDEX('Rainfall Data'!$E$15:$E$26,9),0),(TankCapacity_L*1.25))</f>
        <v>0</v>
      </c>
      <c r="S29" s="107">
        <f>MIN(MAX(R29+INDEX(ActiveMonthlyRain,10)*RoofArea_m2*CollectionEff-DailyDemand_L*INDEX('Rainfall Data'!$E$15:$E$26,10),0),(TankCapacity_L*1.25))</f>
        <v>0</v>
      </c>
      <c r="T29" s="107">
        <f>MIN(MAX(S29+INDEX(ActiveMonthlyRain,11)*RoofArea_m2*CollectionEff-DailyDemand_L*INDEX('Rainfall Data'!$E$15:$E$26,11),0),(TankCapacity_L*1.25))</f>
        <v>0</v>
      </c>
      <c r="U29" s="107">
        <f>MIN(MAX(T29+INDEX(ActiveMonthlyRain,12)*RoofArea_m2*CollectionEff-DailyDemand_L*INDEX('Rainfall Data'!$E$15:$E$26,12),0),(TankCapacity_L*1.25))</f>
        <v>0</v>
      </c>
    </row>
    <row r="32" spans="2:21" ht="21.75" customHeight="1" x14ac:dyDescent="0.35">
      <c r="B32" s="11" t="s">
        <v>338</v>
      </c>
      <c r="C32" s="11"/>
      <c r="D32" s="11"/>
      <c r="E32" s="11"/>
    </row>
    <row r="33" spans="2:5" ht="15" customHeight="1" x14ac:dyDescent="0.35">
      <c r="B33" s="51" t="s">
        <v>290</v>
      </c>
      <c r="C33" s="51" t="s">
        <v>291</v>
      </c>
      <c r="D33" s="51" t="s">
        <v>292</v>
      </c>
      <c r="E33" s="51" t="s">
        <v>293</v>
      </c>
    </row>
    <row r="34" spans="2:5" ht="15" customHeight="1" x14ac:dyDescent="0.35">
      <c r="B34" s="46" t="s">
        <v>29</v>
      </c>
      <c r="C34" s="120">
        <f>E7</f>
        <v>0.19343361237950274</v>
      </c>
      <c r="D34" s="121">
        <f>E9</f>
        <v>0.28828037798072043</v>
      </c>
      <c r="E34" s="122">
        <f>(E9-E7)*100</f>
        <v>9.484676560121768</v>
      </c>
    </row>
    <row r="35" spans="2:5" ht="15" customHeight="1" x14ac:dyDescent="0.35">
      <c r="B35" s="46" t="s">
        <v>288</v>
      </c>
      <c r="C35" s="120">
        <f>E12</f>
        <v>0.19343361237950274</v>
      </c>
      <c r="D35" s="121">
        <f>E14</f>
        <v>0.28828037798072043</v>
      </c>
      <c r="E35" s="122">
        <f>(E14-E12)*100</f>
        <v>9.484676560121768</v>
      </c>
    </row>
    <row r="36" spans="2:5" ht="15" customHeight="1" x14ac:dyDescent="0.35">
      <c r="B36" s="46" t="s">
        <v>289</v>
      </c>
      <c r="C36" s="120">
        <f>E17</f>
        <v>0.23177652460679857</v>
      </c>
      <c r="D36" s="121">
        <f>E19</f>
        <v>0.2639043987823439</v>
      </c>
      <c r="E36" s="122">
        <f>(E19-E17)*100</f>
        <v>3.2127874175545328</v>
      </c>
    </row>
    <row r="37" spans="2:5" ht="15" customHeight="1" x14ac:dyDescent="0.35">
      <c r="B37" s="46" t="s">
        <v>13</v>
      </c>
      <c r="C37" s="120">
        <f>E22</f>
        <v>0.1934336123795028</v>
      </c>
      <c r="D37" s="121">
        <f>E24</f>
        <v>0.28828037798072043</v>
      </c>
      <c r="E37" s="122">
        <f>(E24-E22)*100</f>
        <v>9.4846765601217626</v>
      </c>
    </row>
    <row r="38" spans="2:5" ht="15" customHeight="1" x14ac:dyDescent="0.35">
      <c r="B38" s="46" t="s">
        <v>2</v>
      </c>
      <c r="C38" s="120">
        <f>E27</f>
        <v>0.25952893455098935</v>
      </c>
      <c r="D38" s="121">
        <f>E29</f>
        <v>0.2649383815322171</v>
      </c>
      <c r="E38" s="122">
        <f>(E29-E27)*100</f>
        <v>0.54094469812277501</v>
      </c>
    </row>
  </sheetData>
  <mergeCells count="8">
    <mergeCell ref="B21:E21"/>
    <mergeCell ref="B26:E26"/>
    <mergeCell ref="B32:E32"/>
    <mergeCell ref="B2:E2"/>
    <mergeCell ref="B3:E3"/>
    <mergeCell ref="B6:E6"/>
    <mergeCell ref="B11:E11"/>
    <mergeCell ref="B16:E1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E7A5C"/>
  </sheetPr>
  <dimension ref="B2:J60"/>
  <sheetViews>
    <sheetView showGridLines="0" zoomScaleNormal="100" workbookViewId="0">
      <pane xSplit="1" ySplit="34" topLeftCell="B35" activePane="bottomRight" state="frozen"/>
      <selection pane="topRight" activeCell="B1" sqref="B1"/>
      <selection pane="bottomLeft" activeCell="A35" sqref="A35"/>
      <selection pane="bottomRight"/>
    </sheetView>
  </sheetViews>
  <sheetFormatPr defaultColWidth="8.6328125" defaultRowHeight="14.5" x14ac:dyDescent="0.35"/>
  <cols>
    <col min="1" max="1" width="3" customWidth="1"/>
    <col min="2" max="2" width="30" customWidth="1"/>
    <col min="3" max="3" width="16" customWidth="1"/>
    <col min="4" max="4" width="36" customWidth="1"/>
    <col min="5" max="5" width="3" customWidth="1"/>
    <col min="6" max="6" width="10" customWidth="1"/>
    <col min="7" max="10" width="15" customWidth="1"/>
    <col min="11" max="11" width="3" customWidth="1"/>
  </cols>
  <sheetData>
    <row r="2" spans="2:10" ht="27.75" customHeight="1" x14ac:dyDescent="0.35">
      <c r="B2" s="11" t="s">
        <v>339</v>
      </c>
      <c r="C2" s="11"/>
      <c r="D2" s="11"/>
      <c r="E2" s="11"/>
      <c r="F2" s="11"/>
      <c r="G2" s="11"/>
      <c r="H2" s="11"/>
      <c r="I2" s="11"/>
      <c r="J2" s="11"/>
    </row>
    <row r="4" spans="2:10" ht="19.5" customHeight="1" x14ac:dyDescent="0.35">
      <c r="B4" s="11" t="s">
        <v>294</v>
      </c>
      <c r="C4" s="11"/>
      <c r="D4" s="11"/>
    </row>
    <row r="5" spans="2:10" ht="15" customHeight="1" x14ac:dyDescent="0.35">
      <c r="B5" s="26" t="s">
        <v>60</v>
      </c>
      <c r="C5" s="123">
        <f>TankCost_PKR</f>
        <v>85000</v>
      </c>
    </row>
    <row r="6" spans="2:10" ht="15" customHeight="1" x14ac:dyDescent="0.35">
      <c r="B6" s="26" t="s">
        <v>63</v>
      </c>
      <c r="C6" s="123">
        <f>InstallCost_PKR</f>
        <v>45000</v>
      </c>
    </row>
    <row r="7" spans="2:10" ht="15" customHeight="1" x14ac:dyDescent="0.35">
      <c r="B7" s="34" t="s">
        <v>295</v>
      </c>
      <c r="C7" s="124">
        <f>C5+C6</f>
        <v>130000</v>
      </c>
    </row>
    <row r="9" spans="2:10" ht="19.5" customHeight="1" x14ac:dyDescent="0.35">
      <c r="B9" s="11" t="s">
        <v>296</v>
      </c>
      <c r="C9" s="11"/>
      <c r="D9" s="11"/>
    </row>
    <row r="10" spans="2:10" ht="15" customHeight="1" x14ac:dyDescent="0.35">
      <c r="B10" s="26" t="s">
        <v>297</v>
      </c>
      <c r="C10" s="125">
        <v>0.37</v>
      </c>
      <c r="D10" s="29" t="s">
        <v>298</v>
      </c>
    </row>
    <row r="11" spans="2:10" ht="15" customHeight="1" x14ac:dyDescent="0.35">
      <c r="B11" s="26" t="s">
        <v>299</v>
      </c>
      <c r="C11" s="126">
        <v>0.5</v>
      </c>
    </row>
    <row r="12" spans="2:10" ht="15" customHeight="1" x14ac:dyDescent="0.35">
      <c r="B12" s="34" t="s">
        <v>300</v>
      </c>
      <c r="C12" s="124">
        <f>C10*C11*365*ElecTariff_PKR_kWh/PumpEff</f>
        <v>3798.2812500000005</v>
      </c>
    </row>
    <row r="14" spans="2:10" ht="15" customHeight="1" x14ac:dyDescent="0.35">
      <c r="B14" s="34" t="s">
        <v>301</v>
      </c>
      <c r="C14" s="124">
        <f>MaintCost_PKR+C12</f>
        <v>9798.28125</v>
      </c>
    </row>
    <row r="16" spans="2:10" ht="19.5" customHeight="1" x14ac:dyDescent="0.35">
      <c r="B16" s="11" t="s">
        <v>302</v>
      </c>
      <c r="C16" s="11"/>
      <c r="D16" s="11"/>
    </row>
    <row r="17" spans="2:7" ht="15" customHeight="1" x14ac:dyDescent="0.35">
      <c r="B17" s="26" t="s">
        <v>303</v>
      </c>
      <c r="C17" s="127">
        <f>('Monthly Summary'!F18)</f>
        <v>23546.306000000004</v>
      </c>
    </row>
    <row r="18" spans="2:7" ht="15" customHeight="1" x14ac:dyDescent="0.35">
      <c r="B18" s="26" t="s">
        <v>304</v>
      </c>
      <c r="C18" s="128">
        <f>WaterTariff_PKR_L</f>
        <v>1.2</v>
      </c>
    </row>
    <row r="19" spans="2:7" ht="15" customHeight="1" x14ac:dyDescent="0.35">
      <c r="B19" s="34" t="s">
        <v>305</v>
      </c>
      <c r="C19" s="129">
        <f>C17*C18</f>
        <v>28255.567200000005</v>
      </c>
    </row>
    <row r="20" spans="2:7" ht="15" customHeight="1" x14ac:dyDescent="0.35">
      <c r="B20" s="34" t="s">
        <v>306</v>
      </c>
      <c r="C20" s="130">
        <f>C19-C14</f>
        <v>18457.285950000005</v>
      </c>
    </row>
    <row r="22" spans="2:7" ht="19.5" customHeight="1" x14ac:dyDescent="0.35">
      <c r="B22" s="11" t="s">
        <v>307</v>
      </c>
      <c r="C22" s="11"/>
      <c r="D22" s="11"/>
    </row>
    <row r="23" spans="2:7" ht="15" customHeight="1" x14ac:dyDescent="0.35">
      <c r="B23" s="34" t="s">
        <v>213</v>
      </c>
      <c r="C23" s="131">
        <f>C7/C20</f>
        <v>7.0432890486805277</v>
      </c>
      <c r="D23" s="29" t="s">
        <v>308</v>
      </c>
    </row>
    <row r="25" spans="2:7" ht="19.5" customHeight="1" x14ac:dyDescent="0.35">
      <c r="B25" s="11" t="s">
        <v>309</v>
      </c>
      <c r="C25" s="11"/>
      <c r="D25" s="11"/>
    </row>
    <row r="26" spans="2:7" ht="15" customHeight="1" x14ac:dyDescent="0.35">
      <c r="B26" s="26" t="s">
        <v>74</v>
      </c>
      <c r="C26" s="132">
        <f>DiscountRate</f>
        <v>0.12</v>
      </c>
    </row>
    <row r="27" spans="2:7" ht="15" customHeight="1" x14ac:dyDescent="0.35">
      <c r="B27" s="26" t="s">
        <v>75</v>
      </c>
      <c r="C27" s="56">
        <f>ProjectLife_yrs</f>
        <v>20</v>
      </c>
    </row>
    <row r="28" spans="2:7" ht="15" customHeight="1" x14ac:dyDescent="0.35">
      <c r="B28" s="34" t="s">
        <v>310</v>
      </c>
      <c r="C28" s="133">
        <f>NPV(DiscountRate,CF_Range)-C7</f>
        <v>7865.6568616187724</v>
      </c>
    </row>
    <row r="29" spans="2:7" ht="15" customHeight="1" x14ac:dyDescent="0.35">
      <c r="B29" s="34" t="s">
        <v>311</v>
      </c>
      <c r="C29" s="134">
        <f>IRR(IRR_Range)</f>
        <v>0.12956192516312837</v>
      </c>
    </row>
    <row r="31" spans="2:7" ht="24" customHeight="1" x14ac:dyDescent="0.35">
      <c r="B31" s="11" t="s">
        <v>312</v>
      </c>
      <c r="C31" s="11"/>
      <c r="D31" s="11"/>
      <c r="E31" s="11"/>
      <c r="F31" s="11"/>
      <c r="G31" s="11"/>
    </row>
    <row r="32" spans="2:7" ht="15" customHeight="1" x14ac:dyDescent="0.35">
      <c r="B32" s="8" t="s">
        <v>340</v>
      </c>
      <c r="C32" s="8"/>
      <c r="D32" s="8"/>
      <c r="E32" s="8"/>
      <c r="F32" s="8"/>
      <c r="G32" s="8"/>
    </row>
    <row r="34" spans="2:7" ht="30" customHeight="1" x14ac:dyDescent="0.35">
      <c r="B34" s="51" t="s">
        <v>313</v>
      </c>
      <c r="C34" s="51" t="s">
        <v>314</v>
      </c>
      <c r="D34" s="51" t="s">
        <v>315</v>
      </c>
      <c r="E34" s="51" t="s">
        <v>316</v>
      </c>
      <c r="F34" s="51" t="s">
        <v>317</v>
      </c>
      <c r="G34" s="51" t="s">
        <v>318</v>
      </c>
    </row>
    <row r="35" spans="2:7" ht="15" customHeight="1" x14ac:dyDescent="0.35">
      <c r="B35" s="135">
        <v>0</v>
      </c>
      <c r="C35" s="136">
        <f>-C7</f>
        <v>-130000</v>
      </c>
      <c r="D35" s="137">
        <v>0</v>
      </c>
      <c r="E35" s="137">
        <v>0</v>
      </c>
      <c r="F35" s="138">
        <f>C35-D35+E35</f>
        <v>-130000</v>
      </c>
      <c r="G35" s="139">
        <f>F35</f>
        <v>-130000</v>
      </c>
    </row>
    <row r="36" spans="2:7" ht="15" customHeight="1" x14ac:dyDescent="0.35">
      <c r="B36" s="42">
        <v>1</v>
      </c>
      <c r="C36" s="137">
        <v>0</v>
      </c>
      <c r="D36" s="136">
        <f t="shared" ref="D36:D55" si="0">$C$14</f>
        <v>9798.28125</v>
      </c>
      <c r="E36" s="140">
        <f t="shared" ref="E36:E55" si="1">$C$19</f>
        <v>28255.567200000005</v>
      </c>
      <c r="F36" s="138">
        <f t="shared" ref="F36:F55" si="2">E36-D36-C36</f>
        <v>18457.285950000005</v>
      </c>
      <c r="G36" s="139">
        <f t="shared" ref="G36:G55" si="3">G35+F36</f>
        <v>-111542.71405</v>
      </c>
    </row>
    <row r="37" spans="2:7" ht="15" customHeight="1" x14ac:dyDescent="0.35">
      <c r="B37" s="141">
        <v>2</v>
      </c>
      <c r="C37" s="142">
        <v>0</v>
      </c>
      <c r="D37" s="143">
        <f t="shared" si="0"/>
        <v>9798.28125</v>
      </c>
      <c r="E37" s="144">
        <f t="shared" si="1"/>
        <v>28255.567200000005</v>
      </c>
      <c r="F37" s="145">
        <f t="shared" si="2"/>
        <v>18457.285950000005</v>
      </c>
      <c r="G37" s="146">
        <f t="shared" si="3"/>
        <v>-93085.42809999999</v>
      </c>
    </row>
    <row r="38" spans="2:7" ht="15" customHeight="1" x14ac:dyDescent="0.35">
      <c r="B38" s="42">
        <v>3</v>
      </c>
      <c r="C38" s="137">
        <v>0</v>
      </c>
      <c r="D38" s="136">
        <f t="shared" si="0"/>
        <v>9798.28125</v>
      </c>
      <c r="E38" s="140">
        <f t="shared" si="1"/>
        <v>28255.567200000005</v>
      </c>
      <c r="F38" s="138">
        <f t="shared" si="2"/>
        <v>18457.285950000005</v>
      </c>
      <c r="G38" s="139">
        <f t="shared" si="3"/>
        <v>-74628.142149999985</v>
      </c>
    </row>
    <row r="39" spans="2:7" ht="15" customHeight="1" x14ac:dyDescent="0.35">
      <c r="B39" s="141">
        <v>4</v>
      </c>
      <c r="C39" s="142">
        <v>0</v>
      </c>
      <c r="D39" s="143">
        <f t="shared" si="0"/>
        <v>9798.28125</v>
      </c>
      <c r="E39" s="144">
        <f t="shared" si="1"/>
        <v>28255.567200000005</v>
      </c>
      <c r="F39" s="145">
        <f t="shared" si="2"/>
        <v>18457.285950000005</v>
      </c>
      <c r="G39" s="146">
        <f t="shared" si="3"/>
        <v>-56170.85619999998</v>
      </c>
    </row>
    <row r="40" spans="2:7" ht="15" customHeight="1" x14ac:dyDescent="0.35">
      <c r="B40" s="42">
        <v>5</v>
      </c>
      <c r="C40" s="137">
        <v>0</v>
      </c>
      <c r="D40" s="136">
        <f t="shared" si="0"/>
        <v>9798.28125</v>
      </c>
      <c r="E40" s="140">
        <f t="shared" si="1"/>
        <v>28255.567200000005</v>
      </c>
      <c r="F40" s="138">
        <f t="shared" si="2"/>
        <v>18457.285950000005</v>
      </c>
      <c r="G40" s="139">
        <f t="shared" si="3"/>
        <v>-37713.570249999975</v>
      </c>
    </row>
    <row r="41" spans="2:7" ht="15" customHeight="1" x14ac:dyDescent="0.35">
      <c r="B41" s="141">
        <v>6</v>
      </c>
      <c r="C41" s="142">
        <v>0</v>
      </c>
      <c r="D41" s="143">
        <f t="shared" si="0"/>
        <v>9798.28125</v>
      </c>
      <c r="E41" s="144">
        <f t="shared" si="1"/>
        <v>28255.567200000005</v>
      </c>
      <c r="F41" s="145">
        <f t="shared" si="2"/>
        <v>18457.285950000005</v>
      </c>
      <c r="G41" s="146">
        <f t="shared" si="3"/>
        <v>-19256.28429999997</v>
      </c>
    </row>
    <row r="42" spans="2:7" ht="15" customHeight="1" x14ac:dyDescent="0.35">
      <c r="B42" s="42">
        <v>7</v>
      </c>
      <c r="C42" s="137">
        <v>0</v>
      </c>
      <c r="D42" s="136">
        <f t="shared" si="0"/>
        <v>9798.28125</v>
      </c>
      <c r="E42" s="140">
        <f t="shared" si="1"/>
        <v>28255.567200000005</v>
      </c>
      <c r="F42" s="138">
        <f t="shared" si="2"/>
        <v>18457.285950000005</v>
      </c>
      <c r="G42" s="139">
        <f t="shared" si="3"/>
        <v>-798.99834999996528</v>
      </c>
    </row>
    <row r="43" spans="2:7" ht="15" customHeight="1" x14ac:dyDescent="0.35">
      <c r="B43" s="141">
        <v>8</v>
      </c>
      <c r="C43" s="142">
        <v>0</v>
      </c>
      <c r="D43" s="143">
        <f t="shared" si="0"/>
        <v>9798.28125</v>
      </c>
      <c r="E43" s="144">
        <f t="shared" si="1"/>
        <v>28255.567200000005</v>
      </c>
      <c r="F43" s="145">
        <f t="shared" si="2"/>
        <v>18457.285950000005</v>
      </c>
      <c r="G43" s="146">
        <f t="shared" si="3"/>
        <v>17658.28760000004</v>
      </c>
    </row>
    <row r="44" spans="2:7" ht="15" customHeight="1" x14ac:dyDescent="0.35">
      <c r="B44" s="42">
        <v>9</v>
      </c>
      <c r="C44" s="137">
        <v>0</v>
      </c>
      <c r="D44" s="136">
        <f t="shared" si="0"/>
        <v>9798.28125</v>
      </c>
      <c r="E44" s="140">
        <f t="shared" si="1"/>
        <v>28255.567200000005</v>
      </c>
      <c r="F44" s="138">
        <f t="shared" si="2"/>
        <v>18457.285950000005</v>
      </c>
      <c r="G44" s="139">
        <f t="shared" si="3"/>
        <v>36115.573550000045</v>
      </c>
    </row>
    <row r="45" spans="2:7" ht="15" customHeight="1" x14ac:dyDescent="0.35">
      <c r="B45" s="141">
        <v>10</v>
      </c>
      <c r="C45" s="142">
        <v>0</v>
      </c>
      <c r="D45" s="143">
        <f t="shared" si="0"/>
        <v>9798.28125</v>
      </c>
      <c r="E45" s="144">
        <f t="shared" si="1"/>
        <v>28255.567200000005</v>
      </c>
      <c r="F45" s="145">
        <f t="shared" si="2"/>
        <v>18457.285950000005</v>
      </c>
      <c r="G45" s="146">
        <f t="shared" si="3"/>
        <v>54572.85950000005</v>
      </c>
    </row>
    <row r="46" spans="2:7" ht="15" customHeight="1" x14ac:dyDescent="0.35">
      <c r="B46" s="42">
        <v>11</v>
      </c>
      <c r="C46" s="137">
        <v>0</v>
      </c>
      <c r="D46" s="136">
        <f t="shared" si="0"/>
        <v>9798.28125</v>
      </c>
      <c r="E46" s="140">
        <f t="shared" si="1"/>
        <v>28255.567200000005</v>
      </c>
      <c r="F46" s="138">
        <f t="shared" si="2"/>
        <v>18457.285950000005</v>
      </c>
      <c r="G46" s="139">
        <f t="shared" si="3"/>
        <v>73030.145450000055</v>
      </c>
    </row>
    <row r="47" spans="2:7" ht="15" customHeight="1" x14ac:dyDescent="0.35">
      <c r="B47" s="141">
        <v>12</v>
      </c>
      <c r="C47" s="142">
        <v>0</v>
      </c>
      <c r="D47" s="143">
        <f t="shared" si="0"/>
        <v>9798.28125</v>
      </c>
      <c r="E47" s="144">
        <f t="shared" si="1"/>
        <v>28255.567200000005</v>
      </c>
      <c r="F47" s="145">
        <f t="shared" si="2"/>
        <v>18457.285950000005</v>
      </c>
      <c r="G47" s="146">
        <f t="shared" si="3"/>
        <v>91487.43140000006</v>
      </c>
    </row>
    <row r="48" spans="2:7" ht="15" customHeight="1" x14ac:dyDescent="0.35">
      <c r="B48" s="42">
        <v>13</v>
      </c>
      <c r="C48" s="137">
        <v>0</v>
      </c>
      <c r="D48" s="136">
        <f t="shared" si="0"/>
        <v>9798.28125</v>
      </c>
      <c r="E48" s="140">
        <f t="shared" si="1"/>
        <v>28255.567200000005</v>
      </c>
      <c r="F48" s="138">
        <f t="shared" si="2"/>
        <v>18457.285950000005</v>
      </c>
      <c r="G48" s="139">
        <f t="shared" si="3"/>
        <v>109944.71735000006</v>
      </c>
    </row>
    <row r="49" spans="2:7" ht="15" customHeight="1" x14ac:dyDescent="0.35">
      <c r="B49" s="141">
        <v>14</v>
      </c>
      <c r="C49" s="142">
        <v>0</v>
      </c>
      <c r="D49" s="143">
        <f t="shared" si="0"/>
        <v>9798.28125</v>
      </c>
      <c r="E49" s="144">
        <f t="shared" si="1"/>
        <v>28255.567200000005</v>
      </c>
      <c r="F49" s="145">
        <f t="shared" si="2"/>
        <v>18457.285950000005</v>
      </c>
      <c r="G49" s="146">
        <f t="shared" si="3"/>
        <v>128402.00330000007</v>
      </c>
    </row>
    <row r="50" spans="2:7" ht="15" customHeight="1" x14ac:dyDescent="0.35">
      <c r="B50" s="42">
        <v>15</v>
      </c>
      <c r="C50" s="137">
        <v>0</v>
      </c>
      <c r="D50" s="136">
        <f t="shared" si="0"/>
        <v>9798.28125</v>
      </c>
      <c r="E50" s="140">
        <f t="shared" si="1"/>
        <v>28255.567200000005</v>
      </c>
      <c r="F50" s="138">
        <f t="shared" si="2"/>
        <v>18457.285950000005</v>
      </c>
      <c r="G50" s="139">
        <f t="shared" si="3"/>
        <v>146859.28925000009</v>
      </c>
    </row>
    <row r="51" spans="2:7" ht="15" customHeight="1" x14ac:dyDescent="0.35">
      <c r="B51" s="141">
        <v>16</v>
      </c>
      <c r="C51" s="142">
        <v>0</v>
      </c>
      <c r="D51" s="143">
        <f t="shared" si="0"/>
        <v>9798.28125</v>
      </c>
      <c r="E51" s="144">
        <f t="shared" si="1"/>
        <v>28255.567200000005</v>
      </c>
      <c r="F51" s="145">
        <f t="shared" si="2"/>
        <v>18457.285950000005</v>
      </c>
      <c r="G51" s="146">
        <f t="shared" si="3"/>
        <v>165316.57520000008</v>
      </c>
    </row>
    <row r="52" spans="2:7" ht="15" customHeight="1" x14ac:dyDescent="0.35">
      <c r="B52" s="42">
        <v>17</v>
      </c>
      <c r="C52" s="137">
        <v>0</v>
      </c>
      <c r="D52" s="136">
        <f t="shared" si="0"/>
        <v>9798.28125</v>
      </c>
      <c r="E52" s="140">
        <f t="shared" si="1"/>
        <v>28255.567200000005</v>
      </c>
      <c r="F52" s="138">
        <f t="shared" si="2"/>
        <v>18457.285950000005</v>
      </c>
      <c r="G52" s="139">
        <f t="shared" si="3"/>
        <v>183773.86115000007</v>
      </c>
    </row>
    <row r="53" spans="2:7" ht="15" customHeight="1" x14ac:dyDescent="0.35">
      <c r="B53" s="141">
        <v>18</v>
      </c>
      <c r="C53" s="142">
        <v>0</v>
      </c>
      <c r="D53" s="143">
        <f t="shared" si="0"/>
        <v>9798.28125</v>
      </c>
      <c r="E53" s="144">
        <f t="shared" si="1"/>
        <v>28255.567200000005</v>
      </c>
      <c r="F53" s="145">
        <f t="shared" si="2"/>
        <v>18457.285950000005</v>
      </c>
      <c r="G53" s="146">
        <f t="shared" si="3"/>
        <v>202231.14710000006</v>
      </c>
    </row>
    <row r="54" spans="2:7" ht="15" customHeight="1" x14ac:dyDescent="0.35">
      <c r="B54" s="42">
        <v>19</v>
      </c>
      <c r="C54" s="137">
        <v>0</v>
      </c>
      <c r="D54" s="136">
        <f t="shared" si="0"/>
        <v>9798.28125</v>
      </c>
      <c r="E54" s="140">
        <f t="shared" si="1"/>
        <v>28255.567200000005</v>
      </c>
      <c r="F54" s="138">
        <f t="shared" si="2"/>
        <v>18457.285950000005</v>
      </c>
      <c r="G54" s="139">
        <f t="shared" si="3"/>
        <v>220688.43305000005</v>
      </c>
    </row>
    <row r="55" spans="2:7" ht="15" customHeight="1" x14ac:dyDescent="0.35">
      <c r="B55" s="141">
        <v>20</v>
      </c>
      <c r="C55" s="142">
        <v>0</v>
      </c>
      <c r="D55" s="143">
        <f t="shared" si="0"/>
        <v>9798.28125</v>
      </c>
      <c r="E55" s="144">
        <f t="shared" si="1"/>
        <v>28255.567200000005</v>
      </c>
      <c r="F55" s="145">
        <f t="shared" si="2"/>
        <v>18457.285950000005</v>
      </c>
      <c r="G55" s="146">
        <f t="shared" si="3"/>
        <v>239145.71900000004</v>
      </c>
    </row>
    <row r="57" spans="2:7" ht="19.5" customHeight="1" x14ac:dyDescent="0.35">
      <c r="B57" s="11" t="s">
        <v>319</v>
      </c>
      <c r="C57" s="11"/>
      <c r="D57" s="11"/>
      <c r="E57" s="11"/>
      <c r="F57" s="11"/>
      <c r="G57" s="11"/>
    </row>
    <row r="58" spans="2:7" ht="15" customHeight="1" x14ac:dyDescent="0.35">
      <c r="B58" s="34" t="s">
        <v>320</v>
      </c>
      <c r="C58" s="147">
        <f>C7+SUM(D36:D55)</f>
        <v>325965.625</v>
      </c>
    </row>
    <row r="59" spans="2:7" ht="15" customHeight="1" x14ac:dyDescent="0.35">
      <c r="B59" s="34" t="s">
        <v>321</v>
      </c>
      <c r="C59" s="148">
        <f>SUM(E36:E55)</f>
        <v>565111.34399999992</v>
      </c>
    </row>
    <row r="60" spans="2:7" ht="15" customHeight="1" x14ac:dyDescent="0.35">
      <c r="B60" s="34" t="s">
        <v>322</v>
      </c>
      <c r="C60" s="149">
        <f>G55</f>
        <v>239145.71900000004</v>
      </c>
    </row>
  </sheetData>
  <mergeCells count="9">
    <mergeCell ref="B25:D25"/>
    <mergeCell ref="B31:G31"/>
    <mergeCell ref="B32:G32"/>
    <mergeCell ref="B57:G57"/>
    <mergeCell ref="B2:J2"/>
    <mergeCell ref="B4:D4"/>
    <mergeCell ref="B9:D9"/>
    <mergeCell ref="B16:D16"/>
    <mergeCell ref="B22:D2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B7A8F"/>
  </sheetPr>
  <dimension ref="B2:T2"/>
  <sheetViews>
    <sheetView showGridLines="0" zoomScaleNormal="100" workbookViewId="0"/>
  </sheetViews>
  <sheetFormatPr defaultColWidth="8.6328125" defaultRowHeight="14.5" x14ac:dyDescent="0.35"/>
  <cols>
    <col min="1" max="1" width="3" customWidth="1"/>
  </cols>
  <sheetData>
    <row r="2" spans="2:20" ht="27.75" customHeight="1" x14ac:dyDescent="0.35">
      <c r="B2" s="11" t="s">
        <v>341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50"/>
      <c r="R2" s="150"/>
      <c r="S2" s="150"/>
      <c r="T2" s="150"/>
    </row>
  </sheetData>
  <mergeCells count="1">
    <mergeCell ref="B2:P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58</vt:i4>
      </vt:variant>
    </vt:vector>
  </HeadingPairs>
  <TitlesOfParts>
    <vt:vector size="68" baseType="lpstr">
      <vt:lpstr>Dashboard</vt:lpstr>
      <vt:lpstr>Inputs</vt:lpstr>
      <vt:lpstr>Rainfall Data</vt:lpstr>
      <vt:lpstr>Daily Simulation</vt:lpstr>
      <vt:lpstr>Monthly Summary</vt:lpstr>
      <vt:lpstr>Engineering Calcs</vt:lpstr>
      <vt:lpstr>Tank Optimization</vt:lpstr>
      <vt:lpstr>Sensitivity</vt:lpstr>
      <vt:lpstr>Economics</vt:lpstr>
      <vt:lpstr>Charts</vt:lpstr>
      <vt:lpstr>ActiveMonthlyRain</vt:lpstr>
      <vt:lpstr>ActiveRainyDays</vt:lpstr>
      <vt:lpstr>CF_Range</vt:lpstr>
      <vt:lpstr>CollectionEff</vt:lpstr>
      <vt:lpstr>ConveyEff</vt:lpstr>
      <vt:lpstr>DailyDate</vt:lpstr>
      <vt:lpstr>DailyDemand_L</vt:lpstr>
      <vt:lpstr>DailyRainfall</vt:lpstr>
      <vt:lpstr>DeadStorage_L</vt:lpstr>
      <vt:lpstr>DemandPerCapita_L</vt:lpstr>
      <vt:lpstr>DiscountRate</vt:lpstr>
      <vt:lpstr>ElecTariff_PKR_kWh</vt:lpstr>
      <vt:lpstr>FilterEff</vt:lpstr>
      <vt:lpstr>FirstFlush_mm</vt:lpstr>
      <vt:lpstr>InstallCost_PKR</vt:lpstr>
      <vt:lpstr>IRR_Range</vt:lpstr>
      <vt:lpstr>MaintCost_PKR</vt:lpstr>
      <vt:lpstr>Month_AvgStorage</vt:lpstr>
      <vt:lpstr>Month_Collected</vt:lpstr>
      <vt:lpstr>Month_Demand</vt:lpstr>
      <vt:lpstr>Month_Names</vt:lpstr>
      <vt:lpstr>Month_Overflow</vt:lpstr>
      <vt:lpstr>Month_Rain</vt:lpstr>
      <vt:lpstr>Month_Reliab</vt:lpstr>
      <vt:lpstr>Month_Shortage</vt:lpstr>
      <vt:lpstr>Month_Supplied</vt:lpstr>
      <vt:lpstr>Month_Util</vt:lpstr>
      <vt:lpstr>Occupants</vt:lpstr>
      <vt:lpstr>ProjectLife_yrs</vt:lpstr>
      <vt:lpstr>PumpEff</vt:lpstr>
      <vt:lpstr>RainfallStation</vt:lpstr>
      <vt:lpstr>RainTable</vt:lpstr>
      <vt:lpstr>RoofArea_m2</vt:lpstr>
      <vt:lpstr>RoofMaterial</vt:lpstr>
      <vt:lpstr>RunoffCoeff</vt:lpstr>
      <vt:lpstr>Sim_Collected</vt:lpstr>
      <vt:lpstr>Sim_CollectEff</vt:lpstr>
      <vt:lpstr>Sim_CumCollected</vt:lpstr>
      <vt:lpstr>Sim_CumOverflow</vt:lpstr>
      <vt:lpstr>Sim_CumShortage</vt:lpstr>
      <vt:lpstr>Sim_CumUsed</vt:lpstr>
      <vt:lpstr>Sim_Date</vt:lpstr>
      <vt:lpstr>Sim_Day</vt:lpstr>
      <vt:lpstr>Sim_Demand</vt:lpstr>
      <vt:lpstr>Sim_FinalLevel</vt:lpstr>
      <vt:lpstr>Sim_InitLevel</vt:lpstr>
      <vt:lpstr>Sim_Overflow</vt:lpstr>
      <vt:lpstr>Sim_Rainfall</vt:lpstr>
      <vt:lpstr>Sim_Shortage</vt:lpstr>
      <vt:lpstr>Sim_Supplied</vt:lpstr>
      <vt:lpstr>StationNames</vt:lpstr>
      <vt:lpstr>Sweep_Overflow</vt:lpstr>
      <vt:lpstr>Sweep_Supplied</vt:lpstr>
      <vt:lpstr>Sweep_TankSize</vt:lpstr>
      <vt:lpstr>TankCapacity_L</vt:lpstr>
      <vt:lpstr>TankCost_PKR</vt:lpstr>
      <vt:lpstr>TankInitial_L</vt:lpstr>
      <vt:lpstr>WaterTariff_PKR_L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Rainwater Harvesting System Design and Performance Simulation</dc:title>
  <dc:subject>Rooftop Rainwater Harvesting — Engineering Design &amp; Performance Simulation</dc:subject>
  <dc:creator>Umair</dc:creator>
  <dc:description>365-day mass-balance simulation, tank-size optimization, sensitivity analysis, and economic evaluation for a rooftop rainwater harvesting system. Default station: Karachi.</dc:description>
  <cp:lastModifiedBy>Umair</cp:lastModifiedBy>
  <cp:revision>9</cp:revision>
  <dcterms:created xsi:type="dcterms:W3CDTF">2026-07-25T17:07:30Z</dcterms:created>
  <dcterms:modified xsi:type="dcterms:W3CDTF">2026-07-27T21:43:48Z</dcterms:modified>
  <dc:language>en-US</dc:language>
</cp:coreProperties>
</file>